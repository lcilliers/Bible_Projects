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Bible_study_projects\iba\docs\"/>
    </mc:Choice>
  </mc:AlternateContent>
  <xr:revisionPtr revIDLastSave="0" documentId="13_ncr:1_{E091DE26-26FA-4A37-951E-39F1B79A41EB}" xr6:coauthVersionLast="47" xr6:coauthVersionMax="47" xr10:uidLastSave="{00000000-0000-0000-0000-000000000000}"/>
  <bookViews>
    <workbookView xWindow="22932" yWindow="-108" windowWidth="23256" windowHeight="12456" xr2:uid="{7AEB6694-A08E-49E1-807B-C60BA5639946}"/>
  </bookViews>
  <sheets>
    <sheet name="Escala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7" i="1" l="1"/>
  <c r="C16" i="1"/>
  <c r="C15" i="1"/>
  <c r="C14" i="1"/>
  <c r="C13" i="1"/>
  <c r="C12" i="1"/>
  <c r="C11" i="1"/>
  <c r="C8" i="1"/>
  <c r="C7" i="1"/>
  <c r="C6" i="1"/>
  <c r="C23" i="1" l="1"/>
  <c r="C21" i="1"/>
</calcChain>
</file>

<file path=xl/sharedStrings.xml><?xml version="1.0" encoding="utf-8"?>
<sst xmlns="http://schemas.openxmlformats.org/spreadsheetml/2006/main" count="126" uniqueCount="77">
  <si>
    <t>Escalation tool</t>
  </si>
  <si>
    <t>Raise</t>
  </si>
  <si>
    <t>Update</t>
  </si>
  <si>
    <t>Correction</t>
  </si>
  <si>
    <t>-action</t>
  </si>
  <si>
    <t>-Id</t>
  </si>
  <si>
    <t>-NextAction</t>
  </si>
  <si>
    <t>-AssignedTo</t>
  </si>
  <si>
    <t>Claude</t>
  </si>
  <si>
    <t>-Comment</t>
  </si>
  <si>
    <t>-Context</t>
  </si>
  <si>
    <t>Concatenation</t>
  </si>
  <si>
    <t>Type</t>
  </si>
  <si>
    <t>script</t>
  </si>
  <si>
    <t>action history</t>
  </si>
  <si>
    <t>iba\app\ps\Escalation.ps1</t>
  </si>
  <si>
    <t>History</t>
  </si>
  <si>
    <t>raise</t>
  </si>
  <si>
    <t>list</t>
  </si>
  <si>
    <t>List</t>
  </si>
  <si>
    <t>Despatcher-tied</t>
  </si>
  <si>
    <t>Despatcher action</t>
  </si>
  <si>
    <t>AnswerRun</t>
  </si>
  <si>
    <t>-Decision</t>
  </si>
  <si>
    <r>
      <t>Approve</t>
    </r>
    <r>
      <rPr>
        <sz val="11"/>
        <color rgb="FFA9A9A9"/>
        <rFont val="Consolas"/>
        <family val="3"/>
      </rPr>
      <t>|</t>
    </r>
    <r>
      <rPr>
        <sz val="11"/>
        <color rgb="FF333333"/>
        <rFont val="Consolas"/>
        <family val="3"/>
      </rPr>
      <t>Reject</t>
    </r>
    <r>
      <rPr>
        <sz val="11"/>
        <color rgb="FFA9A9A9"/>
        <rFont val="Consolas"/>
        <family val="3"/>
      </rPr>
      <t>|</t>
    </r>
    <r>
      <rPr>
        <sz val="11"/>
        <color rgb="FF333333"/>
        <rFont val="Consolas"/>
        <family val="3"/>
      </rPr>
      <t>Revise</t>
    </r>
    <r>
      <rPr>
        <sz val="11"/>
        <color rgb="FFA9A9A9"/>
        <rFont val="Consolas"/>
        <family val="3"/>
      </rPr>
      <t>|</t>
    </r>
    <r>
      <rPr>
        <sz val="11"/>
        <color rgb="FF333333"/>
        <rFont val="Consolas"/>
        <family val="3"/>
      </rPr>
      <t>Hold</t>
    </r>
    <r>
      <rPr>
        <sz val="11"/>
        <color rgb="FFA9A9A9"/>
        <rFont val="Consolas"/>
        <family val="3"/>
      </rPr>
      <t>|</t>
    </r>
    <r>
      <rPr>
        <sz val="11"/>
        <color rgb="FF333333"/>
        <rFont val="Consolas"/>
        <family val="3"/>
      </rPr>
      <t xml:space="preserve">Noted </t>
    </r>
  </si>
  <si>
    <t>Researcher</t>
  </si>
  <si>
    <t>-Resolution</t>
  </si>
  <si>
    <t>x</t>
  </si>
  <si>
    <t>Decision-tied-Manual</t>
  </si>
  <si>
    <t>-Question</t>
  </si>
  <si>
    <t>(60 chars)</t>
  </si>
  <si>
    <t>-Type</t>
  </si>
  <si>
    <t>Task|Issue|Note</t>
  </si>
  <si>
    <t>-ResolutionKind</t>
  </si>
  <si>
    <r>
      <t>DecisionRequired</t>
    </r>
    <r>
      <rPr>
        <sz val="11"/>
        <color rgb="FFA9A9A9"/>
        <rFont val="Consolas"/>
        <family val="3"/>
      </rPr>
      <t>|</t>
    </r>
    <r>
      <rPr>
        <sz val="11"/>
        <color rgb="FF333333"/>
        <rFont val="Consolas"/>
        <family val="3"/>
      </rPr>
      <t>SelfCorrectable</t>
    </r>
  </si>
  <si>
    <t>DecisionRequired</t>
  </si>
  <si>
    <t>AnswerRun|ResolveSelfCorrectable|EscalateToDecision</t>
  </si>
  <si>
    <r>
      <rPr>
        <sz val="11"/>
        <color rgb="FF00008B"/>
        <rFont val="Consolas"/>
        <family val="3"/>
      </rPr>
      <t>on</t>
    </r>
    <r>
      <rPr>
        <sz val="11"/>
        <color rgb="FFA9A9A9"/>
        <rFont val="Consolas"/>
        <family val="3"/>
      </rPr>
      <t>-</t>
    </r>
    <r>
      <rPr>
        <sz val="11"/>
        <color rgb="FF00008B"/>
        <rFont val="Consolas"/>
        <family val="3"/>
      </rPr>
      <t>hold</t>
    </r>
    <r>
      <rPr>
        <sz val="11"/>
        <color rgb="FFA9A9A9"/>
        <rFont val="Consolas"/>
        <family val="3"/>
      </rPr>
      <t>|</t>
    </r>
    <r>
      <rPr>
        <sz val="11"/>
        <color rgb="FF00008B"/>
        <rFont val="Consolas"/>
        <family val="3"/>
      </rPr>
      <t>in</t>
    </r>
    <r>
      <rPr>
        <sz val="11"/>
        <color rgb="FFA9A9A9"/>
        <rFont val="Consolas"/>
        <family val="3"/>
      </rPr>
      <t>-</t>
    </r>
    <r>
      <rPr>
        <sz val="11"/>
        <color rgb="FF00008B"/>
        <rFont val="Consolas"/>
        <family val="3"/>
      </rPr>
      <t>progress</t>
    </r>
    <r>
      <rPr>
        <sz val="11"/>
        <color rgb="FFA9A9A9"/>
        <rFont val="Consolas"/>
        <family val="3"/>
      </rPr>
      <t>|</t>
    </r>
    <r>
      <rPr>
        <sz val="11"/>
        <color rgb="FF00008B"/>
        <rFont val="Consolas"/>
        <family val="3"/>
      </rPr>
      <t>closed</t>
    </r>
    <r>
      <rPr>
        <sz val="11"/>
        <color rgb="FFA9A9A9"/>
        <rFont val="Consolas"/>
        <family val="3"/>
      </rPr>
      <t>|</t>
    </r>
    <r>
      <rPr>
        <sz val="11"/>
        <color rgb="FF00008B"/>
        <rFont val="Consolas"/>
        <family val="3"/>
      </rPr>
      <t>withdraw</t>
    </r>
    <r>
      <rPr>
        <sz val="11"/>
        <color rgb="FFA9A9A9"/>
        <rFont val="Consolas"/>
        <family val="3"/>
      </rPr>
      <t>|</t>
    </r>
    <r>
      <rPr>
        <sz val="11"/>
        <color rgb="FF00008B"/>
        <rFont val="Consolas"/>
        <family val="3"/>
      </rPr>
      <t>supersede</t>
    </r>
  </si>
  <si>
    <t>review</t>
  </si>
  <si>
    <t>revise</t>
  </si>
  <si>
    <t>approval</t>
  </si>
  <si>
    <t>Task</t>
  </si>
  <si>
    <t>Issue</t>
  </si>
  <si>
    <t>in-progress</t>
  </si>
  <si>
    <t>supercede</t>
  </si>
  <si>
    <t>supersede</t>
  </si>
  <si>
    <t>reject</t>
  </si>
  <si>
    <t>withdraw</t>
  </si>
  <si>
    <t>hold</t>
  </si>
  <si>
    <r>
      <t>ready</t>
    </r>
    <r>
      <rPr>
        <sz val="11"/>
        <color rgb="FF333333"/>
        <rFont val="Consolas"/>
        <family val="3"/>
      </rPr>
      <t>_</t>
    </r>
    <r>
      <rPr>
        <sz val="11"/>
        <color rgb="FF00008B"/>
        <rFont val="Consolas"/>
        <family val="3"/>
      </rPr>
      <t>for</t>
    </r>
    <r>
      <rPr>
        <sz val="11"/>
        <color rgb="FF333333"/>
        <rFont val="Consolas"/>
        <family val="3"/>
      </rPr>
      <t>_</t>
    </r>
    <r>
      <rPr>
        <sz val="11"/>
        <color rgb="FF00008B"/>
        <rFont val="Consolas"/>
        <family val="3"/>
      </rPr>
      <t>approval</t>
    </r>
    <r>
      <rPr>
        <sz val="11"/>
        <color rgb="FFA9A9A9"/>
        <rFont val="Consolas"/>
        <family val="3"/>
      </rPr>
      <t>|</t>
    </r>
    <r>
      <rPr>
        <sz val="11"/>
        <color rgb="FF00008B"/>
        <rFont val="Consolas"/>
        <family val="3"/>
      </rPr>
      <t>approved</t>
    </r>
    <r>
      <rPr>
        <sz val="11"/>
        <color rgb="FFA9A9A9"/>
        <rFont val="Consolas"/>
        <family val="3"/>
      </rPr>
      <t>|</t>
    </r>
    <r>
      <rPr>
        <sz val="11"/>
        <color rgb="FF00008B"/>
        <rFont val="Consolas"/>
        <family val="3"/>
      </rPr>
      <t>reject</t>
    </r>
    <r>
      <rPr>
        <sz val="11"/>
        <color rgb="FFA9A9A9"/>
        <rFont val="Consolas"/>
        <family val="3"/>
      </rPr>
      <t>|</t>
    </r>
    <r>
      <rPr>
        <sz val="11"/>
        <color rgb="FF00008B"/>
        <rFont val="Consolas"/>
        <family val="3"/>
      </rPr>
      <t>revise</t>
    </r>
    <r>
      <rPr>
        <sz val="11"/>
        <color rgb="FFA9A9A9"/>
        <rFont val="Consolas"/>
        <family val="3"/>
      </rPr>
      <t>|</t>
    </r>
    <r>
      <rPr>
        <sz val="11"/>
        <color rgb="FF00008B"/>
        <rFont val="Consolas"/>
        <family val="3"/>
      </rPr>
      <t>noted</t>
    </r>
    <r>
      <rPr>
        <sz val="11"/>
        <color rgb="FFA9A9A9"/>
        <rFont val="Consolas"/>
        <family val="3"/>
      </rPr>
      <t>|</t>
    </r>
    <r>
      <rPr>
        <sz val="11"/>
        <color rgb="FF00008B"/>
        <rFont val="Consolas"/>
        <family val="3"/>
      </rPr>
      <t>review|hold</t>
    </r>
  </si>
  <si>
    <t>on-hold</t>
  </si>
  <si>
    <t>PS instruction</t>
  </si>
  <si>
    <t>ready for approval</t>
  </si>
  <si>
    <t>ready_for_approval</t>
  </si>
  <si>
    <t>title</t>
  </si>
  <si>
    <t>assigment</t>
  </si>
  <si>
    <t>more info</t>
  </si>
  <si>
    <t>issue</t>
  </si>
  <si>
    <t>task</t>
  </si>
  <si>
    <t>update</t>
  </si>
  <si>
    <t>completed</t>
  </si>
  <si>
    <t>Set to ready for approval</t>
  </si>
  <si>
    <t>Resolution required</t>
  </si>
  <si>
    <t>approved</t>
  </si>
  <si>
    <t>notice</t>
  </si>
  <si>
    <t>Notice</t>
  </si>
  <si>
    <t>-State</t>
  </si>
  <si>
    <t>set to on hold</t>
  </si>
  <si>
    <t>substantial work has gone into governance, and I am not planning to do a another full sweep of governance</t>
  </si>
  <si>
    <t>taken off hold.   Has this now been cleared</t>
  </si>
  <si>
    <t>not approved, to be redesigned</t>
  </si>
  <si>
    <t>Prose change log</t>
  </si>
  <si>
    <t>Review prose change log to validate it is working correctly</t>
  </si>
  <si>
    <t>section 69 update</t>
  </si>
  <si>
    <t>Align the section  id 69 for programme with the current approach of using CC and API rather than AI and also work in how CC and Researcher is working in colaboration</t>
  </si>
  <si>
    <t>Proceed with review and update</t>
  </si>
  <si>
    <t>seems to be working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</si>
</sst>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rgb="FF333333"/>
      <name val="Consolas"/>
      <family val="3"/>
    </font>
    <font>
      <sz val="11"/>
      <color rgb="FFA9A9A9"/>
      <name val="Consolas"/>
      <family val="3"/>
    </font>
    <font>
      <sz val="11"/>
      <color rgb="FF00008B"/>
      <name val="Consolas"/>
      <family val="3"/>
    </font>
    <font>
      <sz val="11"/>
      <color rgb="FF000000"/>
      <name val="Consolas"/>
      <family val="3"/>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quotePrefix="1"/>
    <xf numFmtId="0" fontId="0" fillId="0" borderId="0" xfId="0" applyAlignment="1">
      <alignment wrapText="1"/>
    </xf>
    <xf numFmtId="0" fontId="0" fillId="0" borderId="0" xfId="0" quotePrefix="1" applyAlignment="1">
      <alignment wrapText="1"/>
    </xf>
    <xf numFmtId="0" fontId="0" fillId="2" borderId="0" xfId="0" applyFill="1"/>
    <xf numFmtId="0" fontId="1" fillId="0" borderId="0" xfId="0" applyFont="1" applyAlignment="1">
      <alignment vertical="center" wrapText="1"/>
    </xf>
    <xf numFmtId="0" fontId="3" fillId="0" borderId="0" xfId="0" applyFont="1" applyAlignment="1">
      <alignment vertical="center" wrapText="1"/>
    </xf>
    <xf numFmtId="0" fontId="4" fillId="0" borderId="0" xfId="0" quotePrefix="1" applyFont="1" applyAlignment="1">
      <alignment vertical="center" wrapText="1"/>
    </xf>
    <xf numFmtId="0" fontId="0" fillId="2"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F6153-362F-416E-9FFC-C7AB60768AC1}">
  <dimension ref="A1:O29"/>
  <sheetViews>
    <sheetView tabSelected="1" workbookViewId="0">
      <pane ySplit="2988" topLeftCell="A14" activePane="bottomLeft"/>
      <selection activeCell="G1" sqref="G1:G1048576"/>
      <selection pane="bottomLeft" activeCell="C14" sqref="C14"/>
    </sheetView>
  </sheetViews>
  <sheetFormatPr defaultRowHeight="15" x14ac:dyDescent="0.25"/>
  <cols>
    <col min="1" max="2" width="18" customWidth="1"/>
    <col min="3" max="3" width="31.85546875" style="2" customWidth="1"/>
    <col min="4" max="4" width="14.5703125" customWidth="1"/>
    <col min="5" max="5" width="13.140625" customWidth="1"/>
    <col min="7" max="7" width="17.7109375" style="2" customWidth="1"/>
    <col min="8" max="8" width="15.42578125" customWidth="1"/>
    <col min="10" max="10" width="14.7109375" customWidth="1"/>
    <col min="11" max="12" width="13" customWidth="1"/>
    <col min="13" max="13" width="24.42578125" style="2" customWidth="1"/>
    <col min="14" max="14" width="22" style="2" customWidth="1"/>
  </cols>
  <sheetData>
    <row r="1" spans="1:15" x14ac:dyDescent="0.25">
      <c r="A1" t="s">
        <v>0</v>
      </c>
    </row>
    <row r="3" spans="1:15" x14ac:dyDescent="0.25">
      <c r="A3" t="s">
        <v>28</v>
      </c>
    </row>
    <row r="4" spans="1:15" x14ac:dyDescent="0.25">
      <c r="B4" t="s">
        <v>12</v>
      </c>
      <c r="C4" s="2" t="s">
        <v>51</v>
      </c>
      <c r="D4" t="s">
        <v>13</v>
      </c>
      <c r="E4" s="1" t="s">
        <v>4</v>
      </c>
      <c r="F4" s="1" t="s">
        <v>5</v>
      </c>
      <c r="G4" s="3" t="s">
        <v>29</v>
      </c>
      <c r="H4" s="1" t="s">
        <v>33</v>
      </c>
      <c r="I4" s="1" t="s">
        <v>31</v>
      </c>
      <c r="J4" s="1" t="s">
        <v>6</v>
      </c>
      <c r="K4" s="1" t="s">
        <v>7</v>
      </c>
      <c r="L4" s="1" t="s">
        <v>66</v>
      </c>
      <c r="M4" s="3" t="s">
        <v>9</v>
      </c>
      <c r="N4" s="3" t="s">
        <v>10</v>
      </c>
      <c r="O4" s="1" t="s">
        <v>26</v>
      </c>
    </row>
    <row r="5" spans="1:15" ht="90" x14ac:dyDescent="0.25">
      <c r="E5" s="1"/>
      <c r="G5" s="2" t="s">
        <v>30</v>
      </c>
      <c r="H5" s="5" t="s">
        <v>34</v>
      </c>
      <c r="I5" s="2" t="s">
        <v>32</v>
      </c>
      <c r="J5" s="6" t="s">
        <v>49</v>
      </c>
      <c r="L5" s="7" t="s">
        <v>37</v>
      </c>
    </row>
    <row r="6" spans="1:15" ht="107.25" customHeight="1" x14ac:dyDescent="0.25">
      <c r="A6" t="s">
        <v>1</v>
      </c>
      <c r="B6" t="s">
        <v>42</v>
      </c>
      <c r="C6" s="2" t="str">
        <f>D6&amp;" " &amp;$E$4&amp;" "&amp;E6&amp;" "  &amp;$G$4&amp;" '"&amp;G6&amp;"' "&amp;$H$4&amp;" "&amp;H6&amp;" " &amp;$I$4&amp;" "&amp;I6&amp; " " &amp;$K$4 &amp; " " &amp;K6 &amp; " " &amp;$M$4&amp;" '" &amp; M6 &amp; "' " &amp;$N$4&amp;" '" &amp; N6 &amp;"' "</f>
        <v xml:space="preserve">iba\app\ps\Escalation.ps1 -action raise -Question 'Prose change log' -ResolutionKind DecisionRequired -Type issue -AssignedTo Researcher -Comment 'Review prose change log to validate it is working correctly' -Context 'more info' </v>
      </c>
      <c r="D6" t="s">
        <v>15</v>
      </c>
      <c r="E6" t="s">
        <v>17</v>
      </c>
      <c r="G6" s="8" t="s">
        <v>71</v>
      </c>
      <c r="H6" t="s">
        <v>35</v>
      </c>
      <c r="I6" t="s">
        <v>57</v>
      </c>
      <c r="K6" t="s">
        <v>25</v>
      </c>
      <c r="M6" s="8" t="s">
        <v>72</v>
      </c>
      <c r="N6" s="8" t="s">
        <v>56</v>
      </c>
    </row>
    <row r="7" spans="1:15" ht="135" x14ac:dyDescent="0.25">
      <c r="B7" t="s">
        <v>41</v>
      </c>
      <c r="C7" s="2" t="str">
        <f>D7&amp;" " &amp;$E$4&amp;" "&amp;E7&amp;" "  &amp;$G$4&amp;" '"&amp;G7&amp;"' "&amp;$H$4&amp;" "&amp;H7&amp;" " &amp;$I$4&amp;" "&amp;I7&amp; " " &amp;$K$4 &amp; " " &amp;K7 &amp; " " &amp;$M$4&amp;" '" &amp; M7 &amp; "' " &amp;$N$4&amp;" '" &amp; N7 &amp;"' "</f>
        <v xml:space="preserve">iba\app\ps\Escalation.ps1 -action raise -Question 'section 69 update' -ResolutionKind DecisionRequired -Type task -AssignedTo Researcher -Comment 'Align the section  id 69 for programme with the current approach of using CC and API rather than AI and also work in how CC and Researcher is working in colaboration' -Context '' </v>
      </c>
      <c r="D7" t="s">
        <v>15</v>
      </c>
      <c r="E7" t="s">
        <v>17</v>
      </c>
      <c r="G7" s="8" t="s">
        <v>73</v>
      </c>
      <c r="H7" t="s">
        <v>35</v>
      </c>
      <c r="I7" t="s">
        <v>58</v>
      </c>
      <c r="K7" t="s">
        <v>25</v>
      </c>
      <c r="M7" s="8" t="s">
        <v>74</v>
      </c>
      <c r="N7" s="8"/>
    </row>
    <row r="8" spans="1:15" ht="90" x14ac:dyDescent="0.25">
      <c r="B8" t="s">
        <v>65</v>
      </c>
      <c r="C8" s="2" t="str">
        <f>D8&amp;" " &amp;$E$4&amp;" "&amp;E8&amp;" "  &amp;$G$4&amp;" '"&amp;G8&amp;"' "&amp;$H$4&amp;" "&amp;H8&amp;" " &amp;$I$4&amp;" "&amp;I8&amp; " " &amp;$K$4 &amp; " " &amp;K8 &amp; " " &amp;$M$4&amp;" '" &amp; M8 &amp; "' " &amp;$N$4&amp;" '" &amp; N8 &amp;"' "</f>
        <v xml:space="preserve">iba\app\ps\Escalation.ps1 -action raise -Question 'title' -ResolutionKind DecisionRequired -Type notice -AssignedTo Researcher -Comment 'assigment' -Context 'more info' </v>
      </c>
      <c r="D8" t="s">
        <v>15</v>
      </c>
      <c r="E8" t="s">
        <v>17</v>
      </c>
      <c r="G8" s="8" t="s">
        <v>54</v>
      </c>
      <c r="H8" t="s">
        <v>35</v>
      </c>
      <c r="I8" t="s">
        <v>64</v>
      </c>
      <c r="K8" t="s">
        <v>25</v>
      </c>
      <c r="M8" s="8" t="s">
        <v>55</v>
      </c>
      <c r="N8" s="8" t="s">
        <v>56</v>
      </c>
    </row>
    <row r="11" spans="1:15" ht="105" x14ac:dyDescent="0.25">
      <c r="A11" t="s">
        <v>2</v>
      </c>
      <c r="B11" t="s">
        <v>38</v>
      </c>
      <c r="C11" s="2" t="str">
        <f>D11&amp;" " &amp;$E$4&amp;" "&amp;E11&amp;" " &amp;$F$4&amp;" "&amp;F11&amp;" "  &amp;$H$4&amp;" "&amp;H11&amp;" " &amp;$J$4&amp;" "&amp;J11&amp; " " &amp;$K$4 &amp; " " &amp;K11 &amp; " " &amp;$L$4 &amp; " " &amp;L11 &amp; " " &amp;$M$4&amp;" '" &amp; M11 &amp; "' " &amp;$N$4&amp;" '" &amp; N11 &amp;"' "</f>
        <v xml:space="preserve">iba\app\ps\Escalation.ps1 -action update -Id 932 -ResolutionKind DecisionRequired -NextAction review -AssignedTo Claude -State in-progress -Comment 'Proceed with review and update' -Context '' </v>
      </c>
      <c r="D11" t="s">
        <v>15</v>
      </c>
      <c r="E11" t="s">
        <v>59</v>
      </c>
      <c r="F11" s="4">
        <v>932</v>
      </c>
      <c r="H11" t="s">
        <v>35</v>
      </c>
      <c r="J11" t="s">
        <v>38</v>
      </c>
      <c r="K11" t="s">
        <v>8</v>
      </c>
      <c r="L11" t="s">
        <v>43</v>
      </c>
      <c r="M11" s="8" t="s">
        <v>75</v>
      </c>
      <c r="N11" s="8"/>
    </row>
    <row r="12" spans="1:15" ht="105" x14ac:dyDescent="0.25">
      <c r="B12" t="s">
        <v>39</v>
      </c>
      <c r="C12" s="2" t="str">
        <f>D12&amp;" " &amp;$E$4&amp;" "&amp;E12&amp;" " &amp;$F$4&amp;" "&amp;F12&amp;" "  &amp;$H$4&amp;" "&amp;H12&amp;" " &amp;$J$4&amp;" "&amp;J12&amp; " " &amp;$K$4 &amp; " " &amp;K12 &amp; " " &amp;$L$4 &amp; " " &amp;L12 &amp; " " &amp;$M$4&amp;" '" &amp; M12 &amp; "' " &amp;$N$4&amp;" '" &amp; N12 &amp;"' "</f>
        <v xml:space="preserve">iba\app\ps\Escalation.ps1 -action update -Id 768 -ResolutionKind DecisionRequired -NextAction revise -AssignedTo Claude -State in-progress -Comment 'taken off hold.   Has this now been cleared' -Context '' </v>
      </c>
      <c r="D12" t="s">
        <v>15</v>
      </c>
      <c r="E12" t="s">
        <v>59</v>
      </c>
      <c r="F12" s="4">
        <v>768</v>
      </c>
      <c r="H12" t="s">
        <v>35</v>
      </c>
      <c r="J12" t="s">
        <v>39</v>
      </c>
      <c r="K12" t="s">
        <v>8</v>
      </c>
      <c r="L12" t="s">
        <v>43</v>
      </c>
      <c r="M12" s="8" t="s">
        <v>69</v>
      </c>
      <c r="N12" s="8"/>
    </row>
    <row r="13" spans="1:15" ht="120" x14ac:dyDescent="0.25">
      <c r="B13" t="s">
        <v>52</v>
      </c>
      <c r="C13" s="2" t="str">
        <f>D13&amp;" " &amp;$E$4&amp;" "&amp;E13&amp;" " &amp;$F$4&amp;" "&amp;F13&amp;" "  &amp;$H$4&amp;" "&amp;H13&amp;" " &amp;$J$4&amp;" "&amp;J13&amp; " " &amp;$K$4 &amp; " " &amp;K13 &amp; " "&amp;$L$4 &amp; " " &amp;L13 &amp; " " &amp;$M$4&amp;" '" &amp; M13 &amp; "' " &amp;$N$4&amp;" '" &amp; N13 &amp;"' " &amp;$O$4 &amp; " '"&amp; O13 &amp;"'"</f>
        <v>iba\app\ps\Escalation.ps1 -action update -Id 921 -ResolutionKind DecisionRequired -NextAction ready_for_approval -AssignedTo Researcher -State in-progress -Comment 'Set to ready for approval' -Context '' -Resolution 'Resolution required'</v>
      </c>
      <c r="D13" t="s">
        <v>15</v>
      </c>
      <c r="E13" t="s">
        <v>59</v>
      </c>
      <c r="F13" s="4">
        <v>921</v>
      </c>
      <c r="H13" t="s">
        <v>35</v>
      </c>
      <c r="J13" t="s">
        <v>53</v>
      </c>
      <c r="K13" t="s">
        <v>25</v>
      </c>
      <c r="L13" t="s">
        <v>43</v>
      </c>
      <c r="M13" s="8" t="s">
        <v>61</v>
      </c>
      <c r="N13" s="8"/>
      <c r="O13" s="4" t="s">
        <v>62</v>
      </c>
    </row>
    <row r="14" spans="1:15" ht="105" x14ac:dyDescent="0.25">
      <c r="B14" t="s">
        <v>40</v>
      </c>
      <c r="C14" s="2" t="str">
        <f>D14&amp;" " &amp;$E$4&amp;" "&amp;E14&amp;" " &amp;$F$4&amp;" "&amp;F14&amp;" "  &amp;$H$4&amp;" "&amp;H14&amp;" " &amp;$J$4&amp;" "&amp;J14&amp; " " &amp;$K$4 &amp; " " &amp;K14 &amp; " "&amp;$L$4 &amp; " " &amp;L14 &amp; " " &amp;$M$4&amp;" '" &amp; M14 &amp; "' " &amp;$N$4&amp;" '" &amp; N14 &amp;"' " &amp;$O$4 &amp; " '"&amp; O14 &amp;"'"</f>
        <v>iba\app\ps\Escalation.ps1 -action update -Id 931 -ResolutionKind DecisionRequired -NextAction approved -AssignedTo Researcher -State completed -Comment 'seems to be working' -Context '' -Resolution ''</v>
      </c>
      <c r="D14" t="s">
        <v>15</v>
      </c>
      <c r="E14" t="s">
        <v>59</v>
      </c>
      <c r="F14" s="4">
        <v>931</v>
      </c>
      <c r="H14" t="s">
        <v>35</v>
      </c>
      <c r="J14" t="s">
        <v>63</v>
      </c>
      <c r="K14" t="s">
        <v>25</v>
      </c>
      <c r="L14" t="s">
        <v>60</v>
      </c>
      <c r="M14" s="8" t="s">
        <v>76</v>
      </c>
      <c r="N14" s="8"/>
    </row>
    <row r="15" spans="1:15" ht="135" x14ac:dyDescent="0.25">
      <c r="B15" t="s">
        <v>44</v>
      </c>
      <c r="C15" s="2" t="str">
        <f>D15&amp;" " &amp;$E$4&amp;" "&amp;E15&amp;" " &amp;$F$4&amp;" "&amp;F15&amp;" "  &amp;$H$4&amp;" "&amp;H15&amp;" " &amp;$J$4&amp;" "&amp;J15&amp; " " &amp;$K$4 &amp; " " &amp;K15 &amp; " "&amp;$L$4 &amp; " " &amp;L15 &amp; " " &amp;$M$4&amp;" '" &amp; M15 &amp; "' " &amp;$N$4&amp;" '" &amp; N15 &amp;"' " &amp;$O$4 &amp; " '"&amp; O15 &amp;"'"</f>
        <v>iba\app\ps\Escalation.ps1 -action update -Id 9 -ResolutionKind  -NextAction reject -AssignedTo Claude -State supersede -Comment 'substantial work has gone into governance, and I am not planning to do a another full sweep of governance' -Context '' -Resolution ''</v>
      </c>
      <c r="D15" t="s">
        <v>15</v>
      </c>
      <c r="E15" t="s">
        <v>59</v>
      </c>
      <c r="F15" s="4">
        <v>9</v>
      </c>
      <c r="J15" t="s">
        <v>46</v>
      </c>
      <c r="K15" t="s">
        <v>8</v>
      </c>
      <c r="L15" t="s">
        <v>45</v>
      </c>
      <c r="M15" s="8" t="s">
        <v>68</v>
      </c>
      <c r="N15" s="8"/>
    </row>
    <row r="16" spans="1:15" ht="105" x14ac:dyDescent="0.25">
      <c r="B16" t="s">
        <v>46</v>
      </c>
      <c r="C16" s="2" t="str">
        <f>D16&amp;" " &amp;$E$4&amp;" "&amp;E16&amp;" " &amp;$F$4&amp;" "&amp;F16&amp;" "  &amp;$H$4&amp;" "&amp;H16&amp;" " &amp;$J$4&amp;" "&amp;J16&amp; " " &amp;$K$4 &amp; " " &amp;K16 &amp; " "&amp;$L$4 &amp; " " &amp;L16 &amp; " " &amp;$M$4&amp;" '" &amp; M16 &amp; "' " &amp;$N$4&amp;" '" &amp; N16 &amp;"' " &amp;$O$4 &amp; " '"&amp; O16 &amp;"'"</f>
        <v>iba\app\ps\Escalation.ps1 -action update -Id 912 -ResolutionKind  -NextAction reject -AssignedTo Claude -State withdraw -Comment 'not approved, to be redesigned' -Context '' -Resolution ''</v>
      </c>
      <c r="D16" t="s">
        <v>15</v>
      </c>
      <c r="E16" t="s">
        <v>59</v>
      </c>
      <c r="F16" s="4">
        <v>912</v>
      </c>
      <c r="J16" t="s">
        <v>46</v>
      </c>
      <c r="K16" t="s">
        <v>8</v>
      </c>
      <c r="L16" t="s">
        <v>47</v>
      </c>
      <c r="M16" s="8" t="s">
        <v>70</v>
      </c>
      <c r="N16" s="8"/>
    </row>
    <row r="17" spans="1:15" ht="90" x14ac:dyDescent="0.25">
      <c r="B17" t="s">
        <v>48</v>
      </c>
      <c r="C17" s="2" t="str">
        <f>D17&amp;" " &amp;$E$4&amp;" "&amp;E17&amp;" " &amp;$F$4&amp;" "&amp;F17&amp;" "  &amp;$H$4&amp;" "&amp;H17&amp;" " &amp;$J$4&amp;" "&amp;J17&amp; " " &amp;$K$4 &amp; " " &amp;K17 &amp; " "&amp;$L$4 &amp; " " &amp;L17 &amp; " " &amp;$M$4&amp;" '" &amp; M17 &amp; "' " &amp;$N$4&amp;" '" &amp; N17 &amp;"' " &amp;$O$4 &amp; " '"&amp; O17 &amp;"'"</f>
        <v>iba\app\ps\Escalation.ps1 -action update -Id 874 -ResolutionKind  -NextAction revise -AssignedTo Researcher -State on-hold -Comment 'set to on hold' -Context '' -Resolution ''</v>
      </c>
      <c r="D17" t="s">
        <v>15</v>
      </c>
      <c r="E17" t="s">
        <v>59</v>
      </c>
      <c r="F17" s="4">
        <v>874</v>
      </c>
      <c r="J17" t="s">
        <v>39</v>
      </c>
      <c r="K17" t="s">
        <v>25</v>
      </c>
      <c r="L17" t="s">
        <v>50</v>
      </c>
      <c r="M17" s="8" t="s">
        <v>67</v>
      </c>
      <c r="N17" s="8"/>
    </row>
    <row r="19" spans="1:15" x14ac:dyDescent="0.25">
      <c r="A19" t="s">
        <v>3</v>
      </c>
    </row>
    <row r="21" spans="1:15" ht="30" x14ac:dyDescent="0.25">
      <c r="A21" t="s">
        <v>14</v>
      </c>
      <c r="C21" s="2" t="str">
        <f>D21&amp;" " &amp;$E$4&amp;" "&amp;E21&amp;" " &amp;$F$4 &amp; " " &amp;F21</f>
        <v>iba\app\ps\Escalation.ps1 -action History -Id 851</v>
      </c>
      <c r="D21" t="s">
        <v>15</v>
      </c>
      <c r="E21" t="s">
        <v>16</v>
      </c>
      <c r="F21">
        <v>851</v>
      </c>
    </row>
    <row r="23" spans="1:15" ht="30" x14ac:dyDescent="0.25">
      <c r="A23" t="s">
        <v>18</v>
      </c>
      <c r="C23" s="2" t="str">
        <f>D23&amp;" " &amp;$E$4&amp;" "&amp;E23&amp;" "</f>
        <v xml:space="preserve">iba\app\ps\Escalation.ps1 -action List </v>
      </c>
      <c r="D23" t="s">
        <v>15</v>
      </c>
      <c r="E23" t="s">
        <v>19</v>
      </c>
    </row>
    <row r="26" spans="1:15" x14ac:dyDescent="0.25">
      <c r="A26" t="s">
        <v>20</v>
      </c>
    </row>
    <row r="27" spans="1:15" x14ac:dyDescent="0.25">
      <c r="B27" t="s">
        <v>12</v>
      </c>
      <c r="C27" s="2" t="s">
        <v>11</v>
      </c>
      <c r="D27" t="s">
        <v>13</v>
      </c>
      <c r="E27" s="1" t="s">
        <v>4</v>
      </c>
      <c r="F27" s="1" t="s">
        <v>5</v>
      </c>
      <c r="G27" s="3"/>
      <c r="H27" s="1"/>
      <c r="I27" s="1"/>
      <c r="J27" s="1" t="s">
        <v>23</v>
      </c>
      <c r="K27" s="1" t="s">
        <v>7</v>
      </c>
      <c r="L27" s="1"/>
      <c r="M27" s="3" t="s">
        <v>9</v>
      </c>
      <c r="N27" s="3" t="s">
        <v>10</v>
      </c>
    </row>
    <row r="28" spans="1:15" ht="75" x14ac:dyDescent="0.25">
      <c r="E28" s="2" t="s">
        <v>36</v>
      </c>
      <c r="J28" s="5" t="s">
        <v>24</v>
      </c>
    </row>
    <row r="29" spans="1:15" x14ac:dyDescent="0.25">
      <c r="A29" t="s">
        <v>21</v>
      </c>
      <c r="D29" t="s">
        <v>15</v>
      </c>
      <c r="E29" t="s">
        <v>22</v>
      </c>
      <c r="O29"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Escalations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LeRoux Cilliers</dc:creator>
  <cp:lastModifiedBy>LeRoux Cilliers</cp:lastModifiedBy>
  <dcterms:created xsi:type="dcterms:W3CDTF">2026-08-26T10:54:44Z</dcterms:created>
  <dcterms:modified xsi:type="dcterms:W3CDTF">2026-08-27T12:15:30Z</dcterms:modified>
</cp:coreProperties>
</file>