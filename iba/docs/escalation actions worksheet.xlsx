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ible_study_projects\iba\docs\"/>
    </mc:Choice>
  </mc:AlternateContent>
  <xr:revisionPtr revIDLastSave="0" documentId="8_{D0D70A83-5955-4524-BE4A-C880A85FB3A4}" xr6:coauthVersionLast="47" xr6:coauthVersionMax="47" xr10:uidLastSave="{00000000-0000-0000-0000-000000000000}"/>
  <bookViews>
    <workbookView xWindow="22932" yWindow="-108" windowWidth="23256" windowHeight="12456" xr2:uid="{7AEB6694-A08E-49E1-807B-C60BA56399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" l="1"/>
  <c r="C16" i="1"/>
  <c r="C15" i="1"/>
  <c r="C14" i="1"/>
  <c r="C13" i="1"/>
  <c r="C12" i="1"/>
  <c r="C11" i="1"/>
  <c r="C7" i="1"/>
  <c r="C8" i="1"/>
  <c r="C6" i="1"/>
  <c r="C23" i="1"/>
  <c r="C21" i="1"/>
</calcChain>
</file>

<file path=xl/sharedStrings.xml><?xml version="1.0" encoding="utf-8"?>
<sst xmlns="http://schemas.openxmlformats.org/spreadsheetml/2006/main" count="130" uniqueCount="77">
  <si>
    <t>Escalation tool</t>
  </si>
  <si>
    <t>Raise</t>
  </si>
  <si>
    <t>Update</t>
  </si>
  <si>
    <t>Correction</t>
  </si>
  <si>
    <t>-action</t>
  </si>
  <si>
    <t>-Id</t>
  </si>
  <si>
    <t>-NextAction</t>
  </si>
  <si>
    <t>-AssignedTo</t>
  </si>
  <si>
    <t>Claude</t>
  </si>
  <si>
    <t>-Comment</t>
  </si>
  <si>
    <t>-Context</t>
  </si>
  <si>
    <t>Concatenation</t>
  </si>
  <si>
    <t>Type</t>
  </si>
  <si>
    <t>script</t>
  </si>
  <si>
    <t>action history</t>
  </si>
  <si>
    <t>iba\app\ps\Escalation.ps1</t>
  </si>
  <si>
    <t>History</t>
  </si>
  <si>
    <t>raise</t>
  </si>
  <si>
    <t>list</t>
  </si>
  <si>
    <t>List</t>
  </si>
  <si>
    <t>Despatcher-tied</t>
  </si>
  <si>
    <t>Despatcher action</t>
  </si>
  <si>
    <t>AnswerRun</t>
  </si>
  <si>
    <t>-Decision</t>
  </si>
  <si>
    <r>
      <t>Approve</t>
    </r>
    <r>
      <rPr>
        <sz val="11"/>
        <color rgb="FFA9A9A9"/>
        <rFont val="Consolas"/>
        <family val="3"/>
      </rPr>
      <t>|</t>
    </r>
    <r>
      <rPr>
        <sz val="11"/>
        <color rgb="FF333333"/>
        <rFont val="Consolas"/>
        <family val="3"/>
      </rPr>
      <t>Reject</t>
    </r>
    <r>
      <rPr>
        <sz val="11"/>
        <color rgb="FFA9A9A9"/>
        <rFont val="Consolas"/>
        <family val="3"/>
      </rPr>
      <t>|</t>
    </r>
    <r>
      <rPr>
        <sz val="11"/>
        <color rgb="FF333333"/>
        <rFont val="Consolas"/>
        <family val="3"/>
      </rPr>
      <t>Revise</t>
    </r>
    <r>
      <rPr>
        <sz val="11"/>
        <color rgb="FFA9A9A9"/>
        <rFont val="Consolas"/>
        <family val="3"/>
      </rPr>
      <t>|</t>
    </r>
    <r>
      <rPr>
        <sz val="11"/>
        <color rgb="FF333333"/>
        <rFont val="Consolas"/>
        <family val="3"/>
      </rPr>
      <t>Hold</t>
    </r>
    <r>
      <rPr>
        <sz val="11"/>
        <color rgb="FFA9A9A9"/>
        <rFont val="Consolas"/>
        <family val="3"/>
      </rPr>
      <t>|</t>
    </r>
    <r>
      <rPr>
        <sz val="11"/>
        <color rgb="FF333333"/>
        <rFont val="Consolas"/>
        <family val="3"/>
      </rPr>
      <t xml:space="preserve">Noted </t>
    </r>
  </si>
  <si>
    <t>Researcher</t>
  </si>
  <si>
    <t>-Resolution</t>
  </si>
  <si>
    <t>x</t>
  </si>
  <si>
    <t>Decision-tied-Manual</t>
  </si>
  <si>
    <t>-Question</t>
  </si>
  <si>
    <t>(60 chars)</t>
  </si>
  <si>
    <t>-Type</t>
  </si>
  <si>
    <t>Task|Issue|Note</t>
  </si>
  <si>
    <t>-ResolutionKind</t>
  </si>
  <si>
    <r>
      <t>DecisionRequired</t>
    </r>
    <r>
      <rPr>
        <sz val="11"/>
        <color rgb="FFA9A9A9"/>
        <rFont val="Consolas"/>
        <family val="3"/>
      </rPr>
      <t>|</t>
    </r>
    <r>
      <rPr>
        <sz val="11"/>
        <color rgb="FF333333"/>
        <rFont val="Consolas"/>
        <family val="3"/>
      </rPr>
      <t>SelfCorrectable</t>
    </r>
  </si>
  <si>
    <t>DecisionRequired</t>
  </si>
  <si>
    <r>
      <t>-</t>
    </r>
    <r>
      <rPr>
        <sz val="11"/>
        <color rgb="FF00008B"/>
        <rFont val="Consolas"/>
        <family val="3"/>
      </rPr>
      <t>RelatedActivity</t>
    </r>
    <r>
      <rPr>
        <sz val="11"/>
        <color rgb="FF333333"/>
        <rFont val="Consolas"/>
        <family val="3"/>
      </rPr>
      <t xml:space="preserve"> </t>
    </r>
  </si>
  <si>
    <t>-FromID</t>
  </si>
  <si>
    <t>AnswerRun|ResolveSelfCorrectable|EscalateToDecision</t>
  </si>
  <si>
    <r>
      <rPr>
        <sz val="11"/>
        <color rgb="FF00008B"/>
        <rFont val="Consolas"/>
        <family val="3"/>
      </rPr>
      <t>on</t>
    </r>
    <r>
      <rPr>
        <sz val="11"/>
        <color rgb="FFA9A9A9"/>
        <rFont val="Consolas"/>
        <family val="3"/>
      </rPr>
      <t>-</t>
    </r>
    <r>
      <rPr>
        <sz val="11"/>
        <color rgb="FF00008B"/>
        <rFont val="Consolas"/>
        <family val="3"/>
      </rPr>
      <t>hold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in</t>
    </r>
    <r>
      <rPr>
        <sz val="11"/>
        <color rgb="FFA9A9A9"/>
        <rFont val="Consolas"/>
        <family val="3"/>
      </rPr>
      <t>-</t>
    </r>
    <r>
      <rPr>
        <sz val="11"/>
        <color rgb="FF00008B"/>
        <rFont val="Consolas"/>
        <family val="3"/>
      </rPr>
      <t>progress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closed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withdraw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supersede</t>
    </r>
  </si>
  <si>
    <t>review</t>
  </si>
  <si>
    <t>revise</t>
  </si>
  <si>
    <t>approval</t>
  </si>
  <si>
    <t>Task</t>
  </si>
  <si>
    <t>Issue</t>
  </si>
  <si>
    <t>in-progress</t>
  </si>
  <si>
    <t>supercede</t>
  </si>
  <si>
    <t>supersede</t>
  </si>
  <si>
    <t>reject</t>
  </si>
  <si>
    <t>withdraw</t>
  </si>
  <si>
    <t>hold</t>
  </si>
  <si>
    <r>
      <t>ready</t>
    </r>
    <r>
      <rPr>
        <sz val="11"/>
        <color rgb="FF333333"/>
        <rFont val="Consolas"/>
        <family val="3"/>
      </rPr>
      <t>_</t>
    </r>
    <r>
      <rPr>
        <sz val="11"/>
        <color rgb="FF00008B"/>
        <rFont val="Consolas"/>
        <family val="3"/>
      </rPr>
      <t>for</t>
    </r>
    <r>
      <rPr>
        <sz val="11"/>
        <color rgb="FF333333"/>
        <rFont val="Consolas"/>
        <family val="3"/>
      </rPr>
      <t>_</t>
    </r>
    <r>
      <rPr>
        <sz val="11"/>
        <color rgb="FF00008B"/>
        <rFont val="Consolas"/>
        <family val="3"/>
      </rPr>
      <t>approval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approved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reject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revise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noted</t>
    </r>
    <r>
      <rPr>
        <sz val="11"/>
        <color rgb="FFA9A9A9"/>
        <rFont val="Consolas"/>
        <family val="3"/>
      </rPr>
      <t>|</t>
    </r>
    <r>
      <rPr>
        <sz val="11"/>
        <color rgb="FF00008B"/>
        <rFont val="Consolas"/>
        <family val="3"/>
      </rPr>
      <t>review|hold</t>
    </r>
  </si>
  <si>
    <t>on-hold</t>
  </si>
  <si>
    <t>PS instruction</t>
  </si>
  <si>
    <t>ready for approval</t>
  </si>
  <si>
    <t>ready_for_approval</t>
  </si>
  <si>
    <t>title</t>
  </si>
  <si>
    <t>assigment</t>
  </si>
  <si>
    <t>more info</t>
  </si>
  <si>
    <t>Not related</t>
  </si>
  <si>
    <t>issue</t>
  </si>
  <si>
    <t>task</t>
  </si>
  <si>
    <t>update</t>
  </si>
  <si>
    <t>completed</t>
  </si>
  <si>
    <t>This is a test</t>
  </si>
  <si>
    <t>Escalation script testing</t>
  </si>
  <si>
    <t>Set to revise</t>
  </si>
  <si>
    <t>Set to ready for approval</t>
  </si>
  <si>
    <t>set to approved</t>
  </si>
  <si>
    <t>Resolution required</t>
  </si>
  <si>
    <t>approved</t>
  </si>
  <si>
    <t>notice</t>
  </si>
  <si>
    <t>Notice</t>
  </si>
  <si>
    <t>set rejected and supersede</t>
  </si>
  <si>
    <t>-State</t>
  </si>
  <si>
    <t>set to rejected</t>
  </si>
  <si>
    <t>set to on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</si>
</sst>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333333"/>
      <name val="Consolas"/>
      <family val="3"/>
    </font>
    <font>
      <sz val="11"/>
      <color rgb="FFA9A9A9"/>
      <name val="Consolas"/>
      <family val="3"/>
    </font>
    <font>
      <sz val="11"/>
      <color rgb="FF00008B"/>
      <name val="Consolas"/>
      <family val="3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2" borderId="0" xfId="0" applyFill="1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quotePrefix="1" applyFont="1" applyAlignment="1">
      <alignment vertical="center" wrapText="1"/>
    </xf>
    <xf numFmtId="0" fontId="0" fillId="2" borderId="0" xfId="0" applyFill="1" applyAlignment="1">
      <alignment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F6153-362F-416E-9FFC-C7AB60768AC1}">
  <dimension ref="A1:Q29"/>
  <sheetViews>
    <sheetView tabSelected="1" topLeftCell="B2" workbookViewId="0">
      <pane ySplit="2988" topLeftCell="A5" activePane="bottomLeft"/>
      <selection activeCell="L5" sqref="L5"/>
      <selection pane="bottomLeft" activeCell="D19" sqref="D19"/>
    </sheetView>
  </sheetViews>
  <sheetFormatPr defaultRowHeight="15" x14ac:dyDescent="0.25"/>
  <cols>
    <col min="1" max="2" width="18" customWidth="1"/>
    <col min="3" max="3" width="31.85546875" style="2" customWidth="1"/>
    <col min="4" max="4" width="29.28515625" customWidth="1"/>
    <col min="5" max="5" width="13.140625" customWidth="1"/>
    <col min="8" max="8" width="15.42578125" customWidth="1"/>
    <col min="10" max="10" width="14.7109375" customWidth="1"/>
    <col min="11" max="12" width="13" customWidth="1"/>
    <col min="13" max="13" width="24.42578125" style="2" customWidth="1"/>
    <col min="14" max="14" width="22" style="2" customWidth="1"/>
  </cols>
  <sheetData>
    <row r="1" spans="1:17" x14ac:dyDescent="0.25">
      <c r="A1" t="s">
        <v>0</v>
      </c>
    </row>
    <row r="3" spans="1:17" x14ac:dyDescent="0.25">
      <c r="A3" t="s">
        <v>28</v>
      </c>
    </row>
    <row r="4" spans="1:17" x14ac:dyDescent="0.25">
      <c r="B4" t="s">
        <v>12</v>
      </c>
      <c r="C4" s="2" t="s">
        <v>53</v>
      </c>
      <c r="D4" t="s">
        <v>13</v>
      </c>
      <c r="E4" s="1" t="s">
        <v>4</v>
      </c>
      <c r="F4" s="1" t="s">
        <v>5</v>
      </c>
      <c r="G4" s="1" t="s">
        <v>29</v>
      </c>
      <c r="H4" s="1" t="s">
        <v>33</v>
      </c>
      <c r="I4" s="1" t="s">
        <v>31</v>
      </c>
      <c r="J4" s="1" t="s">
        <v>6</v>
      </c>
      <c r="K4" s="1" t="s">
        <v>7</v>
      </c>
      <c r="L4" s="1" t="s">
        <v>74</v>
      </c>
      <c r="M4" s="3" t="s">
        <v>9</v>
      </c>
      <c r="N4" s="3" t="s">
        <v>10</v>
      </c>
      <c r="O4" s="1" t="s">
        <v>26</v>
      </c>
      <c r="P4" s="1" t="s">
        <v>36</v>
      </c>
      <c r="Q4" s="1" t="s">
        <v>37</v>
      </c>
    </row>
    <row r="5" spans="1:17" ht="90" x14ac:dyDescent="0.25">
      <c r="E5" s="1"/>
      <c r="G5" t="s">
        <v>30</v>
      </c>
      <c r="H5" s="5" t="s">
        <v>34</v>
      </c>
      <c r="I5" s="2" t="s">
        <v>32</v>
      </c>
      <c r="J5" s="6" t="s">
        <v>51</v>
      </c>
      <c r="L5" s="7" t="s">
        <v>39</v>
      </c>
    </row>
    <row r="6" spans="1:17" ht="107.25" customHeight="1" x14ac:dyDescent="0.25">
      <c r="A6" t="s">
        <v>1</v>
      </c>
      <c r="B6" t="s">
        <v>44</v>
      </c>
      <c r="C6" s="2" t="str">
        <f>D6&amp;" " &amp;$E$4&amp;" "&amp;E6&amp;" "  &amp;$G$4&amp;" '"&amp;G6&amp;"' "&amp;$H$4&amp;" "&amp;H6&amp;" " &amp;$I$4&amp;" "&amp;I6&amp; " " &amp;$K$4 &amp; " " &amp;K6 &amp; " " &amp;$M$4&amp;" '" &amp; M6 &amp; "' " &amp;$N$4&amp;" '" &amp; N6 &amp;"' " &amp; $P$4 &amp; " '" &amp; P6 &amp; "' " &amp; $Q$4 &amp; " '"&amp;Q6&amp;"'"</f>
        <v>iba\app\ps\Escalation.ps1 -action raise -Question 'title' -ResolutionKind DecisionRequired -Type issue -AssignedTo Researcher -Comment 'assigment' -Context 'more info' -RelatedActivity  'Not related' -FromID '-1'</v>
      </c>
      <c r="D6" t="s">
        <v>15</v>
      </c>
      <c r="E6" t="s">
        <v>17</v>
      </c>
      <c r="F6" s="9"/>
      <c r="G6" s="4" t="s">
        <v>56</v>
      </c>
      <c r="H6" t="s">
        <v>35</v>
      </c>
      <c r="I6" t="s">
        <v>60</v>
      </c>
      <c r="K6" t="s">
        <v>25</v>
      </c>
      <c r="M6" s="8" t="s">
        <v>57</v>
      </c>
      <c r="N6" s="8" t="s">
        <v>58</v>
      </c>
      <c r="P6" s="4" t="s">
        <v>59</v>
      </c>
      <c r="Q6" s="4">
        <v>-1</v>
      </c>
    </row>
    <row r="7" spans="1:17" ht="120" x14ac:dyDescent="0.25">
      <c r="B7" t="s">
        <v>43</v>
      </c>
      <c r="C7" s="2" t="str">
        <f>D7&amp;" " &amp;$E$4&amp;" "&amp;E7&amp;" "  &amp;$G$4&amp;" '"&amp;G7&amp;"' "&amp;$H$4&amp;" "&amp;H7&amp;" " &amp;$I$4&amp;" "&amp;I7&amp; " " &amp;$K$4 &amp; " " &amp;K7 &amp; " " &amp;$M$4&amp;" '" &amp; M7 &amp; "' " &amp;$N$4&amp;" '" &amp; N7 &amp;"' " &amp; $P$4 &amp; " '" &amp; P7 &amp; "' " &amp; $Q$4 &amp; " '"&amp;Q7&amp;"'"</f>
        <v>iba\app\ps\Escalation.ps1 -action raise -Question 'title' -ResolutionKind DecisionRequired -Type task -AssignedTo Researcher -Comment 'assigment' -Context 'more info' -RelatedActivity  'Not related' -FromID '-1'</v>
      </c>
      <c r="D7" t="s">
        <v>15</v>
      </c>
      <c r="E7" t="s">
        <v>17</v>
      </c>
      <c r="F7" s="9"/>
      <c r="G7" s="4" t="s">
        <v>56</v>
      </c>
      <c r="H7" t="s">
        <v>35</v>
      </c>
      <c r="I7" t="s">
        <v>61</v>
      </c>
      <c r="K7" t="s">
        <v>25</v>
      </c>
      <c r="M7" s="8" t="s">
        <v>57</v>
      </c>
      <c r="N7" s="8" t="s">
        <v>58</v>
      </c>
      <c r="P7" s="4" t="s">
        <v>59</v>
      </c>
      <c r="Q7" s="4">
        <v>-1</v>
      </c>
    </row>
    <row r="8" spans="1:17" ht="120" x14ac:dyDescent="0.25">
      <c r="B8" t="s">
        <v>72</v>
      </c>
      <c r="C8" s="2" t="str">
        <f>D8&amp;" " &amp;$E$4&amp;" "&amp;E8&amp;" "  &amp;$G$4&amp;" '"&amp;G8&amp;"' "&amp;$H$4&amp;" "&amp;H8&amp;" " &amp;$I$4&amp;" "&amp;I8&amp; " " &amp;$K$4 &amp; " " &amp;K8 &amp; " " &amp;$M$4&amp;" '" &amp; M8 &amp; "' " &amp;$N$4&amp;" '" &amp; N8 &amp;"' " &amp; $P$4 &amp; " '" &amp; P8 &amp; "' " &amp; $Q$4 &amp; " '"&amp;Q8&amp;"'"</f>
        <v>iba\app\ps\Escalation.ps1 -action raise -Question 'title' -ResolutionKind DecisionRequired -Type notice -AssignedTo Researcher -Comment 'assigment' -Context 'more info' -RelatedActivity  'Not related' -FromID '-1'</v>
      </c>
      <c r="D8" t="s">
        <v>15</v>
      </c>
      <c r="E8" t="s">
        <v>17</v>
      </c>
      <c r="F8" s="9"/>
      <c r="G8" s="4" t="s">
        <v>56</v>
      </c>
      <c r="H8" t="s">
        <v>35</v>
      </c>
      <c r="I8" t="s">
        <v>71</v>
      </c>
      <c r="K8" t="s">
        <v>25</v>
      </c>
      <c r="M8" s="8" t="s">
        <v>57</v>
      </c>
      <c r="N8" s="8" t="s">
        <v>58</v>
      </c>
      <c r="P8" s="4" t="s">
        <v>59</v>
      </c>
      <c r="Q8" s="4">
        <v>-1</v>
      </c>
    </row>
    <row r="9" spans="1:17" x14ac:dyDescent="0.25">
      <c r="F9" s="9"/>
      <c r="G9" s="9"/>
    </row>
    <row r="11" spans="1:17" ht="90" x14ac:dyDescent="0.25">
      <c r="A11" t="s">
        <v>2</v>
      </c>
      <c r="B11" t="s">
        <v>40</v>
      </c>
      <c r="C11" s="2" t="str">
        <f>D11&amp;" " &amp;$E$4&amp;" "&amp;E11&amp;" " &amp;$F$4&amp;" "&amp;F11&amp;" "  &amp;$G$4&amp;" '"&amp;G11&amp;"' " &amp;$J$4&amp;" "&amp;J11&amp; " " &amp;$K$4 &amp; " " &amp;K11 &amp; " " &amp;$M$4&amp;" '" &amp; M11 &amp; "' " &amp;$N$4&amp;" '" &amp; N11 &amp;"' " &amp; $P$4 &amp; " '" &amp; P11 &amp; "' " &amp; $Q$4 &amp; " '"&amp;Q11&amp;"'"</f>
        <v>iba\app\ps\Escalation.ps1 -action update -Id 869 -Question '' -NextAction review -AssignedTo Claude -Comment 'This is a test' -Context 'Escalation script testing' -RelatedActivity  'Not related' -FromID '-1'</v>
      </c>
      <c r="D11" t="s">
        <v>15</v>
      </c>
      <c r="E11" t="s">
        <v>62</v>
      </c>
      <c r="F11" s="4">
        <v>869</v>
      </c>
      <c r="J11" t="s">
        <v>40</v>
      </c>
      <c r="K11" t="s">
        <v>8</v>
      </c>
      <c r="L11" t="s">
        <v>45</v>
      </c>
      <c r="M11" s="8" t="s">
        <v>64</v>
      </c>
      <c r="N11" s="8" t="s">
        <v>65</v>
      </c>
      <c r="P11" s="4" t="s">
        <v>59</v>
      </c>
      <c r="Q11" s="4">
        <v>-1</v>
      </c>
    </row>
    <row r="12" spans="1:17" ht="75" x14ac:dyDescent="0.25">
      <c r="B12" t="s">
        <v>41</v>
      </c>
      <c r="C12" s="2" t="str">
        <f>D12&amp;" " &amp;$E$4&amp;" "&amp;E12&amp;" " &amp;$F$4&amp;" "&amp;F12&amp;" "  &amp;$G$4&amp;" '"&amp;G12&amp;"' " &amp;$J$4&amp;" "&amp;J12&amp; " " &amp;$K$4 &amp; " " &amp;K12 &amp; " " &amp;$M$4&amp;" '" &amp; M12 &amp; "' " &amp;$N$4&amp;" '" &amp; N12 &amp;"' " &amp; $P$4 &amp; " '" &amp; P12 &amp; "' " &amp; $Q$4 &amp; " '"&amp;Q12&amp;"'"</f>
        <v>iba\app\ps\Escalation.ps1 -action update -Id 869 -Question '' -NextAction revise -AssignedTo Claude -Comment 'Set to revise' -Context '' -RelatedActivity  '' -FromID ''</v>
      </c>
      <c r="D12" t="s">
        <v>15</v>
      </c>
      <c r="E12" t="s">
        <v>62</v>
      </c>
      <c r="F12" s="4">
        <v>869</v>
      </c>
      <c r="J12" t="s">
        <v>41</v>
      </c>
      <c r="K12" t="s">
        <v>8</v>
      </c>
      <c r="L12" t="s">
        <v>45</v>
      </c>
      <c r="M12" s="8" t="s">
        <v>66</v>
      </c>
      <c r="N12" s="8"/>
      <c r="P12" s="4"/>
      <c r="Q12" s="4"/>
    </row>
    <row r="13" spans="1:17" ht="90" x14ac:dyDescent="0.25">
      <c r="B13" t="s">
        <v>54</v>
      </c>
      <c r="C13" s="2" t="str">
        <f>D13&amp;" " &amp;$E$4&amp;" "&amp;E13&amp;" " &amp;$F$4&amp;" "&amp;F13&amp;" "  &amp;$G$4&amp;" '"&amp;G13&amp;"' " &amp;$J$4&amp;" "&amp;J13&amp; " " &amp;$K$4 &amp; " " &amp;K13 &amp; " " &amp;$M$4&amp;" '" &amp; M13 &amp; "' " &amp;$N$4&amp;" '" &amp; N13 &amp;"' " &amp;$O$4 &amp; " '"&amp; O13 &amp;"'" &amp; $P$4 &amp; " '" &amp; P13 &amp; "' " &amp; $Q$4 &amp; " '"&amp;Q13&amp;"'"</f>
        <v>iba\app\ps\Escalation.ps1 -action update -Id 869 -Question '' -NextAction ready_for_approval -AssignedTo Researcher -Comment 'Set to ready for approval' -Context '' -Resolution 'Resolution required'-RelatedActivity  '' -FromID ''</v>
      </c>
      <c r="D13" t="s">
        <v>15</v>
      </c>
      <c r="E13" t="s">
        <v>62</v>
      </c>
      <c r="F13" s="4">
        <v>869</v>
      </c>
      <c r="J13" t="s">
        <v>55</v>
      </c>
      <c r="K13" t="s">
        <v>25</v>
      </c>
      <c r="L13" t="s">
        <v>45</v>
      </c>
      <c r="M13" s="8" t="s">
        <v>67</v>
      </c>
      <c r="N13" s="8"/>
      <c r="O13" s="4" t="s">
        <v>69</v>
      </c>
      <c r="P13" s="4"/>
      <c r="Q13" s="4"/>
    </row>
    <row r="14" spans="1:17" ht="75" x14ac:dyDescent="0.25">
      <c r="B14" t="s">
        <v>42</v>
      </c>
      <c r="C14" s="2" t="str">
        <f>D14&amp;" " &amp;$E$4&amp;" "&amp;E14&amp;" " &amp;$F$4&amp;" "&amp;F14&amp;" "  &amp;$G$4&amp;" '"&amp;G14&amp;"' " &amp;$J$4&amp;" "&amp;J14&amp; " " &amp;$K$4 &amp; " " &amp;K14 &amp; " " &amp;$M$4&amp;" '" &amp; M14 &amp; "' " &amp;$N$4&amp;" '" &amp; N14 &amp;"' " &amp; $P$4 &amp; " '" &amp; P14 &amp; "' " &amp; $Q$4 &amp; " '"&amp;Q14&amp;"'"</f>
        <v>iba\app\ps\Escalation.ps1 -action update -Id 869 -Question '' -NextAction approved -AssignedTo Researcher -Comment 'set to approved' -Context '' -RelatedActivity  '' -FromID ''</v>
      </c>
      <c r="D14" t="s">
        <v>15</v>
      </c>
      <c r="E14" t="s">
        <v>62</v>
      </c>
      <c r="F14" s="4">
        <v>869</v>
      </c>
      <c r="J14" t="s">
        <v>70</v>
      </c>
      <c r="K14" t="s">
        <v>25</v>
      </c>
      <c r="L14" t="s">
        <v>63</v>
      </c>
      <c r="M14" s="8" t="s">
        <v>68</v>
      </c>
      <c r="N14" s="8"/>
      <c r="P14" s="4"/>
      <c r="Q14" s="4"/>
    </row>
    <row r="15" spans="1:17" ht="75" x14ac:dyDescent="0.25">
      <c r="B15" t="s">
        <v>46</v>
      </c>
      <c r="C15" s="2" t="str">
        <f>D15&amp;" " &amp;$E$4&amp;" "&amp;E15&amp;" " &amp;$F$4&amp;" "&amp;F15&amp;" "  &amp;$G$4&amp;" '"&amp;G15&amp;"' " &amp;$J$4&amp;" "&amp;J15&amp; " " &amp;$K$4 &amp; " " &amp;K15 &amp; " "&amp; $L$4 &amp; " " &amp;L15 &amp;" "  &amp;$M$4&amp;" '" &amp; M15 &amp; "' " &amp;$N$4&amp;" '" &amp; N15 &amp;"' " &amp; $P$4 &amp; " '" &amp; P15 &amp; "' " &amp; $Q$4 &amp; " '"&amp;Q15&amp;"'"</f>
        <v>iba\app\ps\Escalation.ps1 -action update -Id 870 -Question '' -NextAction reject -AssignedTo Claude -State supersede -Comment 'set rejected and supersede' -Context '' -RelatedActivity  '' -FromID ''</v>
      </c>
      <c r="D15" t="s">
        <v>15</v>
      </c>
      <c r="E15" t="s">
        <v>62</v>
      </c>
      <c r="F15" s="4">
        <v>870</v>
      </c>
      <c r="J15" t="s">
        <v>48</v>
      </c>
      <c r="K15" t="s">
        <v>8</v>
      </c>
      <c r="L15" t="s">
        <v>47</v>
      </c>
      <c r="M15" s="8" t="s">
        <v>73</v>
      </c>
      <c r="N15" s="8"/>
      <c r="P15" s="4"/>
      <c r="Q15" s="4"/>
    </row>
    <row r="16" spans="1:17" ht="90" x14ac:dyDescent="0.25">
      <c r="B16" t="s">
        <v>48</v>
      </c>
      <c r="C16" s="2" t="str">
        <f>D16&amp;" " &amp;$E$4&amp;" "&amp;E16&amp;" " &amp;$F$4&amp;" "&amp;F16&amp;" "  &amp;$G$4&amp;" '"&amp;G16&amp;"' " &amp;$J$4&amp;" "&amp;J16&amp; " " &amp;$K$4 &amp; " " &amp;K16 &amp; " "&amp; $L$4 &amp; " " &amp;L16 &amp;" "  &amp;$M$4&amp;" '" &amp; M16 &amp; "' " &amp;$N$4&amp;" '" &amp; N16 &amp;"' " &amp; $P$4 &amp; " '" &amp; P16 &amp; "' " &amp; $Q$4 &amp; " '"&amp;Q16&amp;"'"</f>
        <v>iba\app\ps\Escalation.ps1 -action update -Id 873 -Question '' -NextAction reject -AssignedTo Claude -State withdraw -Comment 'set to rejected' -Context '' -RelatedActivity  '' -FromID ''</v>
      </c>
      <c r="D16" t="s">
        <v>15</v>
      </c>
      <c r="E16" t="s">
        <v>62</v>
      </c>
      <c r="F16" s="4">
        <v>873</v>
      </c>
      <c r="J16" t="s">
        <v>48</v>
      </c>
      <c r="K16" t="s">
        <v>8</v>
      </c>
      <c r="L16" t="s">
        <v>49</v>
      </c>
      <c r="M16" s="8" t="s">
        <v>75</v>
      </c>
      <c r="N16" s="8"/>
      <c r="P16" s="4"/>
      <c r="Q16" s="4"/>
    </row>
    <row r="17" spans="1:17" ht="90" x14ac:dyDescent="0.25">
      <c r="B17" t="s">
        <v>50</v>
      </c>
      <c r="C17" s="2" t="str">
        <f>D17&amp;" " &amp;$E$4&amp;" "&amp;E17&amp;" " &amp;$F$4&amp;" "&amp;F17&amp;" "  &amp;$G$4&amp;" '"&amp;G17&amp;"' " &amp;$K$4 &amp; " " &amp;K17&amp; " "&amp;$L$4 &amp; " " &amp;L17 &amp; " " &amp;$M$4&amp;" '" &amp; M17 &amp; "' " &amp;$N$4&amp;" '" &amp; N17 &amp;"' " &amp; $P$4 &amp; " '" &amp; P17 &amp; "' " &amp; $Q$4 &amp; " '"&amp;Q17&amp;"'"</f>
        <v>iba\app\ps\Escalation.ps1 -action update -Id 874 -Question '' -AssignedTo Researcher -State on-hold -Comment 'set to on hold' -Context '' -RelatedActivity  '' -FromID ''</v>
      </c>
      <c r="D17" t="s">
        <v>15</v>
      </c>
      <c r="E17" t="s">
        <v>62</v>
      </c>
      <c r="F17" s="4">
        <v>874</v>
      </c>
      <c r="J17" t="s">
        <v>41</v>
      </c>
      <c r="K17" t="s">
        <v>25</v>
      </c>
      <c r="L17" t="s">
        <v>52</v>
      </c>
      <c r="M17" s="8" t="s">
        <v>76</v>
      </c>
      <c r="N17" s="8"/>
      <c r="P17" s="4"/>
      <c r="Q17" s="4"/>
    </row>
    <row r="19" spans="1:17" x14ac:dyDescent="0.25">
      <c r="A19" t="s">
        <v>3</v>
      </c>
    </row>
    <row r="21" spans="1:17" ht="30" x14ac:dyDescent="0.25">
      <c r="A21" t="s">
        <v>14</v>
      </c>
      <c r="C21" s="2" t="str">
        <f>D21&amp;" " &amp;$E$4&amp;" "&amp;E21&amp;" " &amp;$F$4 &amp; " " &amp;F21</f>
        <v>iba\app\ps\Escalation.ps1 -action History -Id 851</v>
      </c>
      <c r="D21" t="s">
        <v>15</v>
      </c>
      <c r="E21" t="s">
        <v>16</v>
      </c>
      <c r="F21">
        <v>851</v>
      </c>
    </row>
    <row r="23" spans="1:17" ht="30" x14ac:dyDescent="0.25">
      <c r="A23" t="s">
        <v>18</v>
      </c>
      <c r="C23" s="2" t="str">
        <f>D23&amp;" " &amp;$E$4&amp;" "&amp;E23&amp;" "</f>
        <v xml:space="preserve">iba\app\ps\Escalation.ps1 -action List </v>
      </c>
      <c r="D23" t="s">
        <v>15</v>
      </c>
      <c r="E23" t="s">
        <v>19</v>
      </c>
    </row>
    <row r="26" spans="1:17" x14ac:dyDescent="0.25">
      <c r="A26" t="s">
        <v>20</v>
      </c>
    </row>
    <row r="27" spans="1:17" x14ac:dyDescent="0.25">
      <c r="B27" t="s">
        <v>12</v>
      </c>
      <c r="C27" s="2" t="s">
        <v>11</v>
      </c>
      <c r="D27" t="s">
        <v>13</v>
      </c>
      <c r="E27" s="1" t="s">
        <v>4</v>
      </c>
      <c r="F27" s="1" t="s">
        <v>5</v>
      </c>
      <c r="G27" s="1"/>
      <c r="H27" s="1"/>
      <c r="I27" s="1"/>
      <c r="J27" s="1" t="s">
        <v>23</v>
      </c>
      <c r="K27" s="1" t="s">
        <v>7</v>
      </c>
      <c r="L27" s="1"/>
      <c r="M27" s="3" t="s">
        <v>9</v>
      </c>
      <c r="N27" s="3" t="s">
        <v>10</v>
      </c>
    </row>
    <row r="28" spans="1:17" ht="75" x14ac:dyDescent="0.25">
      <c r="E28" s="2" t="s">
        <v>38</v>
      </c>
      <c r="J28" s="5" t="s">
        <v>24</v>
      </c>
    </row>
    <row r="29" spans="1:17" x14ac:dyDescent="0.25">
      <c r="A29" t="s">
        <v>21</v>
      </c>
      <c r="D29" t="s">
        <v>15</v>
      </c>
      <c r="E29" t="s">
        <v>22</v>
      </c>
      <c r="O29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LeRoux Cilliers</dc:creator>
  <cp:lastModifiedBy>LeRoux Cilliers</cp:lastModifiedBy>
  <dcterms:created xsi:type="dcterms:W3CDTF">2026-08-26T10:54:44Z</dcterms:created>
  <dcterms:modified xsi:type="dcterms:W3CDTF">2026-08-26T14:05:09Z</dcterms:modified>
</cp:coreProperties>
</file>