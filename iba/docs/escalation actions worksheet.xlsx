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Escalations"/>
  </sheets>
  <calcPr fullCalcOnLoad="1"/>
</workbook>
</file>

<file path=xl/sharedStrings.xml><?xml version="1.0" encoding="utf-8"?>
<sst xmlns="http://schemas.openxmlformats.org/spreadsheetml/2006/main" count="126" uniqueCount="77">
  <si>
    <t>Escalation tool</t>
  </si>
  <si>
    <t>Decision-tied-Manual</t>
  </si>
  <si>
    <t>Type</t>
  </si>
  <si>
    <t>PS instruction</t>
  </si>
  <si>
    <t>script</t>
  </si>
  <si>
    <t>-action</t>
  </si>
  <si>
    <t>-Id</t>
  </si>
  <si>
    <t>-Question</t>
  </si>
  <si>
    <t>-ResolutionKind</t>
  </si>
  <si>
    <t>-Type</t>
  </si>
  <si>
    <t>-NextAction</t>
  </si>
  <si>
    <t>-AssignedTo</t>
  </si>
  <si>
    <t>-State</t>
  </si>
  <si>
    <t>-Comment</t>
  </si>
  <si>
    <t>-Context</t>
  </si>
  <si>
    <t>-Resolution</t>
  </si>
  <si>
    <t>(60 chars)</t>
  </si>
  <si>
    <r>
      <t>DecisionRequired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SelfCorrectable</t>
    </r>
  </si>
  <si>
    <t>Task|Issue|Note</t>
  </si>
  <si>
    <r>
      <t>ready</t>
    </r>
    <r>
      <rPr>
        <sz val="11"/>
        <color rgb="FF333333"/>
        <rFont val="Consolas"/>
        <family val="2"/>
      </rPr>
      <t>_</t>
    </r>
    <r>
      <rPr>
        <sz val="11"/>
        <color rgb="FF00008b"/>
        <rFont val="Consolas"/>
        <family val="2"/>
      </rPr>
      <t>for</t>
    </r>
    <r>
      <rPr>
        <sz val="11"/>
        <color rgb="FF333333"/>
        <rFont val="Consolas"/>
        <family val="2"/>
      </rPr>
      <t>_</t>
    </r>
    <r>
      <rPr>
        <sz val="11"/>
        <color rgb="FF00008b"/>
        <rFont val="Consolas"/>
        <family val="2"/>
      </rPr>
      <t>approval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approved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reject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revise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noted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review|hold</t>
    </r>
  </si>
  <si>
    <r>
      <t/>
    </r>
    <r>
      <rPr>
        <sz val="11"/>
        <color rgb="FF00008b"/>
        <rFont val="Consolas"/>
        <family val="2"/>
      </rPr>
      <t>on</t>
    </r>
    <r>
      <rPr>
        <sz val="11"/>
        <color rgb="FFa9a9a9"/>
        <rFont val="Consolas"/>
        <family val="2"/>
      </rPr>
      <t>-</t>
    </r>
    <r>
      <rPr>
        <sz val="11"/>
        <color rgb="FF00008b"/>
        <rFont val="Consolas"/>
        <family val="2"/>
      </rPr>
      <t>hold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in</t>
    </r>
    <r>
      <rPr>
        <sz val="11"/>
        <color rgb="FFa9a9a9"/>
        <rFont val="Consolas"/>
        <family val="2"/>
      </rPr>
      <t>-</t>
    </r>
    <r>
      <rPr>
        <sz val="11"/>
        <color rgb="FF00008b"/>
        <rFont val="Consolas"/>
        <family val="2"/>
      </rPr>
      <t>progress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closed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withdraw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supersede</t>
    </r>
  </si>
  <si>
    <t>Raise</t>
  </si>
  <si>
    <t>Issue</t>
  </si>
  <si>
    <t>iba\app\ps\Escalation.ps1</t>
  </si>
  <si>
    <t>raise</t>
  </si>
  <si>
    <t>Prose change log</t>
  </si>
  <si>
    <t>DecisionRequired</t>
  </si>
  <si>
    <t>issue</t>
  </si>
  <si>
    <t>Researcher</t>
  </si>
  <si>
    <t>Review prose change log to validate it is working correctly</t>
  </si>
  <si>
    <t>more info</t>
  </si>
  <si>
    <t>Task</t>
  </si>
  <si>
    <t>Explore existing cluster work</t>
  </si>
  <si>
    <t>task</t>
  </si>
  <si>
    <t>The objective is to explore and assess the existing cluster work to determine how much, and in what format can it be harvested and augmented to complete the cluster analysis</t>
  </si>
  <si>
    <t>Notice</t>
  </si>
  <si>
    <t>title</t>
  </si>
  <si>
    <t>notice</t>
  </si>
  <si>
    <t>assigment</t>
  </si>
  <si>
    <t>Update</t>
  </si>
  <si>
    <t>review</t>
  </si>
  <si>
    <t>update</t>
  </si>
  <si>
    <t>Claude</t>
  </si>
  <si>
    <t>in-progress</t>
  </si>
  <si>
    <t>the initial assesment will be on M08 C:\Bible_study_projects\_analytics\clusters\M08-Pride start off by summarising what is in the folder and extract everything from the DB about M08.  all files must go back on this folder, not in another place.</t>
  </si>
  <si>
    <t>revise</t>
  </si>
  <si>
    <t>taken off hold.   Has this now been cleared</t>
  </si>
  <si>
    <t>ready for approval</t>
  </si>
  <si>
    <t>ready_for_approval</t>
  </si>
  <si>
    <t>Set to ready for approval</t>
  </si>
  <si>
    <t>Resolution required</t>
  </si>
  <si>
    <t>approval</t>
  </si>
  <si>
    <t>approved</t>
  </si>
  <si>
    <t>completed</t>
  </si>
  <si>
    <t>update config</t>
  </si>
  <si>
    <t>supercede</t>
  </si>
  <si>
    <t>reject</t>
  </si>
  <si>
    <t>supersede</t>
  </si>
  <si>
    <t>substantial work has gone into governance, and I am not planning to do a another full sweep of governance</t>
  </si>
  <si>
    <t>withdraw</t>
  </si>
  <si>
    <t>not approved, to be redesigned</t>
  </si>
  <si>
    <t>hold</t>
  </si>
  <si>
    <t>on-hold</t>
  </si>
  <si>
    <t>set to on hold</t>
  </si>
  <si>
    <t>Correction</t>
  </si>
  <si>
    <t>action history</t>
  </si>
  <si>
    <t>History</t>
  </si>
  <si>
    <t>list</t>
  </si>
  <si>
    <t>List</t>
  </si>
  <si>
    <t>Despatcher-tied</t>
  </si>
  <si>
    <t>Concatenation</t>
  </si>
  <si>
    <t>-Decision</t>
  </si>
  <si>
    <t>AnswerRun|ResolveSelfCorrectable|EscalateToDecision</t>
  </si>
  <si>
    <r>
      <t>Approve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Reject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Revise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Hold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 xml:space="preserve">Noted </t>
    </r>
  </si>
  <si>
    <t>Despatcher action</t>
  </si>
  <si>
    <t>AnswerRun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</si>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</sst>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333333"/>
      <name val="Consolas"/>
      <family val="2"/>
    </font>
    <font>
      <sz val="11"/>
      <color rgb="FF00008b"/>
      <name val="Consolas"/>
      <family val="2"/>
    </font>
    <font>
      <sz val="11"/>
      <color rgb="FF000000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8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3" applyNumberFormat="1" borderId="0" fontId="0" fillId="0" applyAlignment="1">
      <alignment horizontal="general" wrapText="1"/>
    </xf>
    <xf xfId="0" numFmtId="0" borderId="1" applyBorder="1" fontId="2" applyFont="1" fillId="0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0" borderId="1" applyBorder="1" fontId="4" applyFont="1" fillId="0" applyAlignment="1">
      <alignment horizontal="left" wrapText="1"/>
    </xf>
    <xf xfId="0" numFmtId="0" borderId="1" applyBorder="1" fontId="1" applyFont="1" fillId="0" applyAlignment="1">
      <alignment horizontal="left" wrapText="1"/>
    </xf>
    <xf xfId="0" numFmtId="0" borderId="2" applyBorder="1" fontId="1" applyFont="1" fillId="2" applyFill="1" applyAlignment="1">
      <alignment horizontal="left" wrapText="1"/>
    </xf>
    <xf xfId="0" numFmtId="3" applyNumberFormat="1" borderId="2" applyBorder="1" fontId="1" applyFont="1" fillId="2" applyFill="1" applyAlignment="1">
      <alignment horizontal="right"/>
    </xf>
    <xf xfId="0" numFmtId="0" borderId="2" applyBorder="1" fontId="1" applyFont="1" fillId="2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9"/>
  <sheetViews>
    <sheetView workbookViewId="0" tabSelected="1"/>
  </sheetViews>
  <sheetFormatPr defaultRowHeight="15" x14ac:dyDescent="0.25"/>
  <cols>
    <col min="1" max="1" style="15" width="18.005" customWidth="1" bestFit="1"/>
    <col min="2" max="2" style="15" width="18.005" customWidth="1" bestFit="1"/>
    <col min="3" max="3" style="16" width="31.862142857142857" customWidth="1" bestFit="1"/>
    <col min="4" max="4" style="15" width="14.576428571428572" customWidth="1" bestFit="1"/>
    <col min="5" max="5" style="16" width="13.147857142857141" customWidth="1" bestFit="1"/>
    <col min="6" max="6" style="17" width="13.576428571428572" customWidth="1" bestFit="1"/>
    <col min="7" max="7" style="16" width="17.719285714285714" customWidth="1" bestFit="1"/>
    <col min="8" max="8" style="16" width="15.43357142857143" customWidth="1" bestFit="1"/>
    <col min="9" max="9" style="16" width="13.576428571428572" customWidth="1" bestFit="1"/>
    <col min="10" max="10" style="16" width="14.719285714285713" customWidth="1" bestFit="1"/>
    <col min="11" max="11" style="15" width="13.005" customWidth="1" bestFit="1"/>
    <col min="12" max="12" style="16" width="13.005" customWidth="1" bestFit="1"/>
    <col min="13" max="13" style="16" width="24.433571428571426" customWidth="1" bestFit="1"/>
    <col min="14" max="14" style="16" width="22.005" customWidth="1" bestFit="1"/>
    <col min="15" max="15" style="15" width="13.576428571428572" customWidth="1" bestFit="1"/>
  </cols>
  <sheetData>
    <row x14ac:dyDescent="0.25" r="1" customHeight="1" ht="18.75">
      <c r="A1" s="1" t="s">
        <v>0</v>
      </c>
      <c r="B1" s="1"/>
      <c r="C1" s="2"/>
      <c r="D1" s="1"/>
      <c r="E1" s="2"/>
      <c r="F1" s="3"/>
      <c r="G1" s="2"/>
      <c r="H1" s="2"/>
      <c r="I1" s="2"/>
      <c r="J1" s="2"/>
      <c r="K1" s="1"/>
      <c r="L1" s="2"/>
      <c r="M1" s="2"/>
      <c r="N1" s="2"/>
      <c r="O1" s="1"/>
    </row>
    <row x14ac:dyDescent="0.25" r="2" customHeight="1" ht="18.75">
      <c r="A2" s="1"/>
      <c r="B2" s="1"/>
      <c r="C2" s="2"/>
      <c r="D2" s="1"/>
      <c r="E2" s="2"/>
      <c r="F2" s="3"/>
      <c r="G2" s="2"/>
      <c r="H2" s="2"/>
      <c r="I2" s="2"/>
      <c r="J2" s="2"/>
      <c r="K2" s="1"/>
      <c r="L2" s="2"/>
      <c r="M2" s="2"/>
      <c r="N2" s="2"/>
      <c r="O2" s="1"/>
    </row>
    <row x14ac:dyDescent="0.25" r="3" customHeight="1" ht="18.75">
      <c r="A3" s="1" t="s">
        <v>1</v>
      </c>
      <c r="B3" s="1"/>
      <c r="C3" s="2"/>
      <c r="D3" s="1"/>
      <c r="E3" s="2"/>
      <c r="F3" s="3"/>
      <c r="G3" s="2"/>
      <c r="H3" s="2"/>
      <c r="I3" s="2"/>
      <c r="J3" s="2"/>
      <c r="K3" s="1"/>
      <c r="L3" s="2"/>
      <c r="M3" s="2"/>
      <c r="N3" s="2"/>
      <c r="O3" s="1"/>
    </row>
    <row x14ac:dyDescent="0.25" r="4" customHeight="1" ht="18.75" customFormat="1" s="4">
      <c r="A4" s="2"/>
      <c r="B4" s="2" t="s">
        <v>2</v>
      </c>
      <c r="C4" s="5" t="s">
        <v>3</v>
      </c>
      <c r="D4" s="2" t="s">
        <v>4</v>
      </c>
      <c r="E4" s="2" t="s">
        <v>5</v>
      </c>
      <c r="F4" s="6" t="s">
        <v>6</v>
      </c>
      <c r="G4" s="5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5" t="s">
        <v>13</v>
      </c>
      <c r="N4" s="5" t="s">
        <v>14</v>
      </c>
      <c r="O4" s="2" t="s">
        <v>15</v>
      </c>
    </row>
    <row x14ac:dyDescent="0.25" r="5" customHeight="1" ht="87" customFormat="1" s="4">
      <c r="A5" s="2"/>
      <c r="B5" s="2"/>
      <c r="C5" s="2"/>
      <c r="D5" s="2"/>
      <c r="E5" s="2"/>
      <c r="F5" s="6"/>
      <c r="G5" s="5" t="s">
        <v>16</v>
      </c>
      <c r="H5" s="7" t="s">
        <v>17</v>
      </c>
      <c r="I5" s="5" t="s">
        <v>18</v>
      </c>
      <c r="J5" s="8" t="s">
        <v>19</v>
      </c>
      <c r="K5" s="2"/>
      <c r="L5" s="9" t="s">
        <v>20</v>
      </c>
      <c r="M5" s="2"/>
      <c r="N5" s="2"/>
      <c r="O5" s="2"/>
    </row>
    <row x14ac:dyDescent="0.25" r="6" customHeight="1" ht="95.25" customFormat="1" s="4">
      <c r="A6" s="2" t="s">
        <v>21</v>
      </c>
      <c r="B6" s="2" t="s">
        <v>22</v>
      </c>
      <c r="C6" s="10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</c>
      <c r="D6" s="2" t="s">
        <v>23</v>
      </c>
      <c r="E6" s="2" t="s">
        <v>24</v>
      </c>
      <c r="F6" s="6"/>
      <c r="G6" s="11" t="s">
        <v>25</v>
      </c>
      <c r="H6" s="2" t="s">
        <v>26</v>
      </c>
      <c r="I6" s="2" t="s">
        <v>27</v>
      </c>
      <c r="J6" s="2"/>
      <c r="K6" s="2" t="s">
        <v>28</v>
      </c>
      <c r="L6" s="2"/>
      <c r="M6" s="11" t="s">
        <v>29</v>
      </c>
      <c r="N6" s="11" t="s">
        <v>30</v>
      </c>
      <c r="O6" s="2"/>
    </row>
    <row x14ac:dyDescent="0.25" r="7" customHeight="1" ht="133.5" customFormat="1" s="4">
      <c r="A7" s="2"/>
      <c r="B7" s="2" t="s">
        <v>31</v>
      </c>
      <c r="C7" s="10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</c>
      <c r="D7" s="2" t="s">
        <v>23</v>
      </c>
      <c r="E7" s="2" t="s">
        <v>24</v>
      </c>
      <c r="F7" s="6"/>
      <c r="G7" s="11" t="s">
        <v>32</v>
      </c>
      <c r="H7" s="2" t="s">
        <v>26</v>
      </c>
      <c r="I7" s="2" t="s">
        <v>33</v>
      </c>
      <c r="J7" s="2"/>
      <c r="K7" s="2" t="s">
        <v>28</v>
      </c>
      <c r="L7" s="2"/>
      <c r="M7" s="11" t="s">
        <v>34</v>
      </c>
      <c r="N7" s="11"/>
      <c r="O7" s="2"/>
    </row>
    <row x14ac:dyDescent="0.25" r="8" customHeight="1" ht="69.75" customFormat="1" s="4">
      <c r="A8" s="2"/>
      <c r="B8" s="2" t="s">
        <v>35</v>
      </c>
      <c r="C8" s="10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</c>
      <c r="D8" s="2" t="s">
        <v>23</v>
      </c>
      <c r="E8" s="2" t="s">
        <v>24</v>
      </c>
      <c r="F8" s="6"/>
      <c r="G8" s="11" t="s">
        <v>36</v>
      </c>
      <c r="H8" s="2" t="s">
        <v>26</v>
      </c>
      <c r="I8" s="2" t="s">
        <v>37</v>
      </c>
      <c r="J8" s="2"/>
      <c r="K8" s="2" t="s">
        <v>28</v>
      </c>
      <c r="L8" s="2"/>
      <c r="M8" s="11" t="s">
        <v>38</v>
      </c>
      <c r="N8" s="11" t="s">
        <v>30</v>
      </c>
      <c r="O8" s="2"/>
    </row>
    <row x14ac:dyDescent="0.25" r="9" customHeight="1" ht="18.75">
      <c r="A9" s="1"/>
      <c r="B9" s="1"/>
      <c r="C9" s="2"/>
      <c r="D9" s="1"/>
      <c r="E9" s="2"/>
      <c r="F9" s="3"/>
      <c r="G9" s="2"/>
      <c r="H9" s="2"/>
      <c r="I9" s="2"/>
      <c r="J9" s="2"/>
      <c r="K9" s="1"/>
      <c r="L9" s="2"/>
      <c r="M9" s="2"/>
      <c r="N9" s="2"/>
      <c r="O9" s="1"/>
    </row>
    <row x14ac:dyDescent="0.25" r="10" customHeight="1" ht="18.75">
      <c r="A10" s="1"/>
      <c r="B10" s="1"/>
      <c r="C10" s="2"/>
      <c r="D10" s="1"/>
      <c r="E10" s="2"/>
      <c r="F10" s="3"/>
      <c r="G10" s="2"/>
      <c r="H10" s="2"/>
      <c r="I10" s="2"/>
      <c r="J10" s="2"/>
      <c r="K10" s="1"/>
      <c r="L10" s="2"/>
      <c r="M10" s="2"/>
      <c r="N10" s="2"/>
      <c r="O10" s="1"/>
    </row>
    <row x14ac:dyDescent="0.25" r="11" customHeight="1" ht="82.5">
      <c r="A11" s="1" t="s">
        <v>39</v>
      </c>
      <c r="B11" s="1" t="s">
        <v>40</v>
      </c>
      <c r="C11" s="10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</c>
      <c r="D11" s="1" t="s">
        <v>23</v>
      </c>
      <c r="E11" s="2" t="s">
        <v>41</v>
      </c>
      <c r="F11" s="12">
        <v>1005</v>
      </c>
      <c r="G11" s="2"/>
      <c r="H11" s="2" t="s">
        <v>26</v>
      </c>
      <c r="I11" s="2"/>
      <c r="J11" s="2" t="s">
        <v>40</v>
      </c>
      <c r="K11" s="1" t="s">
        <v>42</v>
      </c>
      <c r="L11" s="2" t="s">
        <v>43</v>
      </c>
      <c r="M11" s="11" t="s">
        <v>44</v>
      </c>
      <c r="N11" s="11"/>
      <c r="O11" s="1"/>
    </row>
    <row x14ac:dyDescent="0.25" r="12" customHeight="1" ht="82.5">
      <c r="A12" s="1"/>
      <c r="B12" s="1" t="s">
        <v>45</v>
      </c>
      <c r="C12" s="10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</c>
      <c r="D12" s="1" t="s">
        <v>23</v>
      </c>
      <c r="E12" s="2" t="s">
        <v>41</v>
      </c>
      <c r="F12" s="12">
        <v>768</v>
      </c>
      <c r="G12" s="2"/>
      <c r="H12" s="2" t="s">
        <v>26</v>
      </c>
      <c r="I12" s="2"/>
      <c r="J12" s="2" t="s">
        <v>45</v>
      </c>
      <c r="K12" s="1" t="s">
        <v>42</v>
      </c>
      <c r="L12" s="2" t="s">
        <v>43</v>
      </c>
      <c r="M12" s="11" t="s">
        <v>46</v>
      </c>
      <c r="N12" s="11"/>
      <c r="O12" s="1"/>
    </row>
    <row x14ac:dyDescent="0.25" r="13" customHeight="1" ht="108">
      <c r="A13" s="1"/>
      <c r="B13" s="1" t="s">
        <v>47</v>
      </c>
      <c r="C13" s="10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</c>
      <c r="D13" s="1" t="s">
        <v>23</v>
      </c>
      <c r="E13" s="2" t="s">
        <v>41</v>
      </c>
      <c r="F13" s="12">
        <v>921</v>
      </c>
      <c r="G13" s="2"/>
      <c r="H13" s="2" t="s">
        <v>26</v>
      </c>
      <c r="I13" s="2"/>
      <c r="J13" s="2" t="s">
        <v>48</v>
      </c>
      <c r="K13" s="1" t="s">
        <v>28</v>
      </c>
      <c r="L13" s="2" t="s">
        <v>43</v>
      </c>
      <c r="M13" s="11" t="s">
        <v>49</v>
      </c>
      <c r="N13" s="11"/>
      <c r="O13" s="13" t="s">
        <v>50</v>
      </c>
    </row>
    <row x14ac:dyDescent="0.25" r="14" customHeight="1" ht="95.25">
      <c r="A14" s="1"/>
      <c r="B14" s="1" t="s">
        <v>51</v>
      </c>
      <c r="C14" s="10">
        <f>D14&amp;" " &amp;$E$4&amp;" "&amp;E14&amp;" " &amp;$F$4&amp;" "&amp;F14&amp;" "  &amp;$H$4&amp;" "&amp;H14&amp;" " &amp;$J$4&amp;" "&amp;J14&amp; " " &amp;$K$4 &amp; " " &amp;K14 &amp; " "&amp;$L$4 &amp; " " &amp;L14 &amp; " " &amp;$M$4&amp;" '" &amp; M14 &amp; "' " </f>
      </c>
      <c r="D14" s="1" t="s">
        <v>23</v>
      </c>
      <c r="E14" s="2" t="s">
        <v>41</v>
      </c>
      <c r="F14" s="12">
        <v>934</v>
      </c>
      <c r="G14" s="2"/>
      <c r="H14" s="2" t="s">
        <v>26</v>
      </c>
      <c r="I14" s="2"/>
      <c r="J14" s="2" t="s">
        <v>52</v>
      </c>
      <c r="K14" s="1" t="s">
        <v>28</v>
      </c>
      <c r="L14" s="2" t="s">
        <v>53</v>
      </c>
      <c r="M14" s="11" t="s">
        <v>54</v>
      </c>
      <c r="N14" s="11"/>
      <c r="O14" s="1"/>
    </row>
    <row x14ac:dyDescent="0.25" r="15" customHeight="1" ht="108">
      <c r="A15" s="1"/>
      <c r="B15" s="1" t="s">
        <v>55</v>
      </c>
      <c r="C15" s="10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</c>
      <c r="D15" s="1" t="s">
        <v>23</v>
      </c>
      <c r="E15" s="2" t="s">
        <v>41</v>
      </c>
      <c r="F15" s="12">
        <v>9</v>
      </c>
      <c r="G15" s="2"/>
      <c r="H15" s="2"/>
      <c r="I15" s="2"/>
      <c r="J15" s="2" t="s">
        <v>56</v>
      </c>
      <c r="K15" s="1" t="s">
        <v>42</v>
      </c>
      <c r="L15" s="2" t="s">
        <v>57</v>
      </c>
      <c r="M15" s="11" t="s">
        <v>58</v>
      </c>
      <c r="N15" s="11"/>
      <c r="O15" s="1"/>
    </row>
    <row x14ac:dyDescent="0.25" r="16" customHeight="1" ht="82.5">
      <c r="A16" s="1"/>
      <c r="B16" s="1" t="s">
        <v>56</v>
      </c>
      <c r="C16" s="10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</c>
      <c r="D16" s="1" t="s">
        <v>23</v>
      </c>
      <c r="E16" s="2" t="s">
        <v>41</v>
      </c>
      <c r="F16" s="12">
        <v>912</v>
      </c>
      <c r="G16" s="2"/>
      <c r="H16" s="2"/>
      <c r="I16" s="2"/>
      <c r="J16" s="2" t="s">
        <v>56</v>
      </c>
      <c r="K16" s="1" t="s">
        <v>42</v>
      </c>
      <c r="L16" s="2" t="s">
        <v>59</v>
      </c>
      <c r="M16" s="11" t="s">
        <v>60</v>
      </c>
      <c r="N16" s="11"/>
      <c r="O16" s="1"/>
    </row>
    <row x14ac:dyDescent="0.25" r="17" customHeight="1" ht="82.5">
      <c r="A17" s="1"/>
      <c r="B17" s="1" t="s">
        <v>61</v>
      </c>
      <c r="C17" s="10">
        <f>D17&amp;" " &amp;$E$4&amp;" "&amp;E17&amp;" " &amp;$F$4&amp;" "&amp;F17&amp;" "  &amp;$H$4&amp;" "&amp;H17&amp;" " &amp;$J$4&amp;" "&amp;J17&amp; " " &amp;$K$4 &amp; " " &amp;K17 &amp; " "&amp;$L$4 &amp; " " &amp;L17 &amp; " " &amp;$M$4&amp;" '" &amp; M17 &amp; "' " &amp;$N$4&amp;" '" &amp; N17 &amp;"' " &amp;$O$4 &amp; " '"&amp; O17 &amp;"'"</f>
      </c>
      <c r="D17" s="1" t="s">
        <v>23</v>
      </c>
      <c r="E17" s="2" t="s">
        <v>41</v>
      </c>
      <c r="F17" s="12">
        <v>874</v>
      </c>
      <c r="G17" s="2"/>
      <c r="H17" s="2"/>
      <c r="I17" s="2"/>
      <c r="J17" s="2" t="s">
        <v>45</v>
      </c>
      <c r="K17" s="1" t="s">
        <v>28</v>
      </c>
      <c r="L17" s="2" t="s">
        <v>62</v>
      </c>
      <c r="M17" s="11" t="s">
        <v>63</v>
      </c>
      <c r="N17" s="11"/>
      <c r="O17" s="1"/>
    </row>
    <row x14ac:dyDescent="0.25" r="18" customHeight="1" ht="18.75">
      <c r="A18" s="1"/>
      <c r="B18" s="1"/>
      <c r="C18" s="2"/>
      <c r="D18" s="1"/>
      <c r="E18" s="2"/>
      <c r="F18" s="3"/>
      <c r="G18" s="2"/>
      <c r="H18" s="2"/>
      <c r="I18" s="2"/>
      <c r="J18" s="2"/>
      <c r="K18" s="1"/>
      <c r="L18" s="2"/>
      <c r="M18" s="2"/>
      <c r="N18" s="2"/>
      <c r="O18" s="1"/>
    </row>
    <row x14ac:dyDescent="0.25" r="19" customHeight="1" ht="18.75">
      <c r="A19" s="1" t="s">
        <v>64</v>
      </c>
      <c r="B19" s="1"/>
      <c r="C19" s="2"/>
      <c r="D19" s="1"/>
      <c r="E19" s="2"/>
      <c r="F19" s="3"/>
      <c r="G19" s="2"/>
      <c r="H19" s="2"/>
      <c r="I19" s="2"/>
      <c r="J19" s="2"/>
      <c r="K19" s="1"/>
      <c r="L19" s="2"/>
      <c r="M19" s="2"/>
      <c r="N19" s="2"/>
      <c r="O19" s="1"/>
    </row>
    <row x14ac:dyDescent="0.25" r="20" customHeight="1" ht="18.75">
      <c r="A20" s="1"/>
      <c r="B20" s="1"/>
      <c r="C20" s="2"/>
      <c r="D20" s="1"/>
      <c r="E20" s="2"/>
      <c r="F20" s="3"/>
      <c r="G20" s="2"/>
      <c r="H20" s="2"/>
      <c r="I20" s="2"/>
      <c r="J20" s="2"/>
      <c r="K20" s="1"/>
      <c r="L20" s="2"/>
      <c r="M20" s="2"/>
      <c r="N20" s="2"/>
      <c r="O20" s="1"/>
    </row>
    <row x14ac:dyDescent="0.25" r="21" customHeight="1" ht="18.75">
      <c r="A21" s="1" t="s">
        <v>65</v>
      </c>
      <c r="B21" s="1"/>
      <c r="C21" s="10">
        <f>D21&amp;" " &amp;$E$4&amp;" "&amp;E21&amp;" " &amp;$F$4 &amp; " " &amp;F21</f>
      </c>
      <c r="D21" s="1" t="s">
        <v>23</v>
      </c>
      <c r="E21" s="2" t="s">
        <v>66</v>
      </c>
      <c r="F21" s="14">
        <v>851</v>
      </c>
      <c r="G21" s="2"/>
      <c r="H21" s="2"/>
      <c r="I21" s="2"/>
      <c r="J21" s="2"/>
      <c r="K21" s="1"/>
      <c r="L21" s="2"/>
      <c r="M21" s="2"/>
      <c r="N21" s="2"/>
      <c r="O21" s="1"/>
    </row>
    <row x14ac:dyDescent="0.25" r="22" customHeight="1" ht="18.75">
      <c r="A22" s="1"/>
      <c r="B22" s="1"/>
      <c r="C22" s="2"/>
      <c r="D22" s="1"/>
      <c r="E22" s="2"/>
      <c r="F22" s="3"/>
      <c r="G22" s="2"/>
      <c r="H22" s="2"/>
      <c r="I22" s="2"/>
      <c r="J22" s="2"/>
      <c r="K22" s="1"/>
      <c r="L22" s="2"/>
      <c r="M22" s="2"/>
      <c r="N22" s="2"/>
      <c r="O22" s="1"/>
    </row>
    <row x14ac:dyDescent="0.25" r="23" customHeight="1" ht="18.75" customFormat="1" s="4">
      <c r="A23" s="2" t="s">
        <v>67</v>
      </c>
      <c r="B23" s="2"/>
      <c r="C23" s="10">
        <f>D23&amp;" " &amp;$E$4&amp;" "&amp;E23&amp;" "</f>
      </c>
      <c r="D23" s="2" t="s">
        <v>23</v>
      </c>
      <c r="E23" s="2" t="s">
        <v>68</v>
      </c>
      <c r="F23" s="6"/>
      <c r="G23" s="2"/>
      <c r="H23" s="2"/>
      <c r="I23" s="2"/>
      <c r="J23" s="2"/>
      <c r="K23" s="2"/>
      <c r="L23" s="2"/>
      <c r="M23" s="2"/>
      <c r="N23" s="2"/>
      <c r="O23" s="2"/>
    </row>
    <row x14ac:dyDescent="0.25" r="24" customHeight="1" ht="18.75">
      <c r="A24" s="1"/>
      <c r="B24" s="1"/>
      <c r="C24" s="2"/>
      <c r="D24" s="1"/>
      <c r="E24" s="2"/>
      <c r="F24" s="3"/>
      <c r="G24" s="2"/>
      <c r="H24" s="2"/>
      <c r="I24" s="2"/>
      <c r="J24" s="2"/>
      <c r="K24" s="1"/>
      <c r="L24" s="2"/>
      <c r="M24" s="2"/>
      <c r="N24" s="2"/>
      <c r="O24" s="1"/>
    </row>
    <row x14ac:dyDescent="0.25" r="25" customHeight="1" ht="18.75">
      <c r="A25" s="1"/>
      <c r="B25" s="1"/>
      <c r="C25" s="2"/>
      <c r="D25" s="1"/>
      <c r="E25" s="2"/>
      <c r="F25" s="3"/>
      <c r="G25" s="2"/>
      <c r="H25" s="2"/>
      <c r="I25" s="2"/>
      <c r="J25" s="2"/>
      <c r="K25" s="1"/>
      <c r="L25" s="2"/>
      <c r="M25" s="2"/>
      <c r="N25" s="2"/>
      <c r="O25" s="1"/>
    </row>
    <row x14ac:dyDescent="0.25" r="26" customHeight="1" ht="18.75">
      <c r="A26" s="1" t="s">
        <v>69</v>
      </c>
      <c r="B26" s="1"/>
      <c r="C26" s="2"/>
      <c r="D26" s="1"/>
      <c r="E26" s="2"/>
      <c r="F26" s="3"/>
      <c r="G26" s="2"/>
      <c r="H26" s="2"/>
      <c r="I26" s="2"/>
      <c r="J26" s="2"/>
      <c r="K26" s="1"/>
      <c r="L26" s="2"/>
      <c r="M26" s="2"/>
      <c r="N26" s="2"/>
      <c r="O26" s="1"/>
    </row>
    <row x14ac:dyDescent="0.25" r="27" customHeight="1" ht="18.75" customFormat="1" s="4">
      <c r="A27" s="2"/>
      <c r="B27" s="2" t="s">
        <v>2</v>
      </c>
      <c r="C27" s="5" t="s">
        <v>70</v>
      </c>
      <c r="D27" s="2" t="s">
        <v>4</v>
      </c>
      <c r="E27" s="2" t="s">
        <v>5</v>
      </c>
      <c r="F27" s="6" t="s">
        <v>6</v>
      </c>
      <c r="G27" s="5"/>
      <c r="H27" s="2"/>
      <c r="I27" s="2"/>
      <c r="J27" s="2" t="s">
        <v>71</v>
      </c>
      <c r="K27" s="2" t="s">
        <v>11</v>
      </c>
      <c r="L27" s="2"/>
      <c r="M27" s="5" t="s">
        <v>13</v>
      </c>
      <c r="N27" s="5" t="s">
        <v>14</v>
      </c>
      <c r="O27" s="2"/>
    </row>
    <row x14ac:dyDescent="0.25" r="28" customHeight="1" ht="18.75" customFormat="1" s="4">
      <c r="A28" s="2"/>
      <c r="B28" s="2"/>
      <c r="C28" s="2"/>
      <c r="D28" s="2"/>
      <c r="E28" s="5" t="s">
        <v>72</v>
      </c>
      <c r="F28" s="6"/>
      <c r="G28" s="2"/>
      <c r="H28" s="2"/>
      <c r="I28" s="2"/>
      <c r="J28" s="7" t="s">
        <v>73</v>
      </c>
      <c r="K28" s="2"/>
      <c r="L28" s="2"/>
      <c r="M28" s="2"/>
      <c r="N28" s="2"/>
      <c r="O28" s="2"/>
    </row>
    <row x14ac:dyDescent="0.25" r="29" customHeight="1" ht="18.75">
      <c r="A29" s="1" t="s">
        <v>74</v>
      </c>
      <c r="B29" s="1"/>
      <c r="C29" s="2"/>
      <c r="D29" s="1" t="s">
        <v>23</v>
      </c>
      <c r="E29" s="2" t="s">
        <v>75</v>
      </c>
      <c r="F29" s="3"/>
      <c r="G29" s="2"/>
      <c r="H29" s="2"/>
      <c r="I29" s="2"/>
      <c r="J29" s="2"/>
      <c r="K29" s="1"/>
      <c r="L29" s="2"/>
      <c r="M29" s="2"/>
      <c r="N29" s="2"/>
      <c r="O29" s="1" t="s">
        <v>76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Escalations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2026-08-28T15:30:59.889Z</dcterms:created>
  <dcterms:modified xsi:type="dcterms:W3CDTF">2026-08-28T15:30:59.889Z</dcterms:modified>
</cp:coreProperties>
</file>