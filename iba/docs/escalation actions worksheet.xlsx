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Bible_study_projects\iba\docs\"/>
    </mc:Choice>
  </mc:AlternateContent>
  <xr:revisionPtr revIDLastSave="0" documentId="13_ncr:1_{F9080CD6-ABDF-43C4-8324-A643C61CB10F}" xr6:coauthVersionLast="47" xr6:coauthVersionMax="47" xr10:uidLastSave="{00000000-0000-0000-0000-000000000000}"/>
  <bookViews>
    <workbookView xWindow="22932" yWindow="-108" windowWidth="23256" windowHeight="12456" xr2:uid="{00000000-000D-0000-FFFF-FFFF00000000}"/>
  </bookViews>
  <sheets>
    <sheet name="Escalations" sheetId="1" r:id="rId1"/>
    <sheet name="bulk update preparatio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2" l="1"/>
  <c r="C17" i="1"/>
  <c r="C14" i="1"/>
  <c r="C35" i="1"/>
  <c r="C31" i="1"/>
  <c r="C30" i="1"/>
  <c r="C29" i="1"/>
  <c r="C23" i="1"/>
  <c r="C21" i="1"/>
  <c r="C16" i="1"/>
  <c r="C15" i="1"/>
  <c r="C13" i="1"/>
  <c r="C12" i="1"/>
  <c r="C11" i="1"/>
  <c r="C8" i="1"/>
  <c r="C7" i="1"/>
  <c r="C6" i="1"/>
  <c r="D9" i="2"/>
  <c r="D8" i="2"/>
  <c r="D7" i="2"/>
  <c r="D6" i="2"/>
  <c r="D5" i="2"/>
</calcChain>
</file>

<file path=xl/sharedStrings.xml><?xml version="1.0" encoding="utf-8"?>
<sst xmlns="http://schemas.openxmlformats.org/spreadsheetml/2006/main" count="194" uniqueCount="108">
  <si>
    <t xml:space="preserve">iba\app\ps\Escalation.ps1 -action update -Id </t>
  </si>
  <si>
    <t>Escalation tool</t>
  </si>
  <si>
    <t>Decision-tied-Manual</t>
  </si>
  <si>
    <t>Type</t>
  </si>
  <si>
    <t>PS instruction</t>
  </si>
  <si>
    <t>script</t>
  </si>
  <si>
    <t>-action</t>
  </si>
  <si>
    <t>-Id</t>
  </si>
  <si>
    <t>-Question</t>
  </si>
  <si>
    <t>-ResolutionKind</t>
  </si>
  <si>
    <t>-Type</t>
  </si>
  <si>
    <t>-NextAction</t>
  </si>
  <si>
    <t>-AssignedTo</t>
  </si>
  <si>
    <t>-State</t>
  </si>
  <si>
    <t>-Comment</t>
  </si>
  <si>
    <t>-Context</t>
  </si>
  <si>
    <t>-Resolution</t>
  </si>
  <si>
    <t>-NeedsFollowup</t>
  </si>
  <si>
    <t>-ShortDescription</t>
  </si>
  <si>
    <t>-Source</t>
  </si>
  <si>
    <t>-Tried</t>
  </si>
  <si>
    <t>(60 chars)</t>
  </si>
  <si>
    <t>DecisionRequired|SelfCorrectable</t>
  </si>
  <si>
    <t>Task|Issue|Note</t>
  </si>
  <si>
    <t>ready_for_approval|approved|reject|revise|noted|review|hold</t>
  </si>
  <si>
    <t>auto-derived for approved|noted|revise -- ignored if given, leave blank. REQUIRED (withdraw|supersede) for reject only.</t>
  </si>
  <si>
    <t>1|0 (optional -- escalation #1075)</t>
  </si>
  <si>
    <t>Correction only -- set by Claude, error-correction of a bad title</t>
  </si>
  <si>
    <t>Raise only -- set by code/Claude (claude|researcher)</t>
  </si>
  <si>
    <t>Update/Correction/EscalateToDecision -- set by Claude</t>
  </si>
  <si>
    <t>Raise</t>
  </si>
  <si>
    <t>Issue</t>
  </si>
  <si>
    <t>iba\app\ps\Escalation.ps1</t>
  </si>
  <si>
    <t>raise</t>
  </si>
  <si>
    <t>DecisionRequired</t>
  </si>
  <si>
    <t>issue</t>
  </si>
  <si>
    <t>Researcher</t>
  </si>
  <si>
    <t>more info</t>
  </si>
  <si>
    <t>Task</t>
  </si>
  <si>
    <t>config table purpose</t>
  </si>
  <si>
    <t>task</t>
  </si>
  <si>
    <t>Add two additional config entries for each cfg table: a)a) purpose - the purpose of this table is to …....why does it exist, what does it do, the scope it covers b) success - what must this table have to be successful</t>
  </si>
  <si>
    <t>Notice</t>
  </si>
  <si>
    <t>title</t>
  </si>
  <si>
    <t>notice</t>
  </si>
  <si>
    <t>assigment</t>
  </si>
  <si>
    <t>Update</t>
  </si>
  <si>
    <t>review</t>
  </si>
  <si>
    <t>update</t>
  </si>
  <si>
    <t>Claude</t>
  </si>
  <si>
    <t>in-progress</t>
  </si>
  <si>
    <t>revise</t>
  </si>
  <si>
    <t>ready for approval</t>
  </si>
  <si>
    <t>ready_for_approval</t>
  </si>
  <si>
    <t>Set to ready for approval</t>
  </si>
  <si>
    <t>Resolution required</t>
  </si>
  <si>
    <t>approval</t>
  </si>
  <si>
    <t>approved</t>
  </si>
  <si>
    <t>supercede</t>
  </si>
  <si>
    <t>reject</t>
  </si>
  <si>
    <t>supersede</t>
  </si>
  <si>
    <t>substantial work has gone into governance, and I am not planning to do a another full sweep of governance</t>
  </si>
  <si>
    <t>withdraw</t>
  </si>
  <si>
    <t>not approved, to be redesigned</t>
  </si>
  <si>
    <t>hold</t>
  </si>
  <si>
    <t>on-hold</t>
  </si>
  <si>
    <t>set to on hold</t>
  </si>
  <si>
    <t>do NOT set -NextAction for hold -- revise always forces in-progress, overriding -State</t>
  </si>
  <si>
    <t>reports</t>
  </si>
  <si>
    <t>action history</t>
  </si>
  <si>
    <t>History</t>
  </si>
  <si>
    <t>list</t>
  </si>
  <si>
    <t>List</t>
  </si>
  <si>
    <t>Despatcher-tied</t>
  </si>
  <si>
    <t>-RunId</t>
  </si>
  <si>
    <t>-Decision</t>
  </si>
  <si>
    <t>-AnsweredBy</t>
  </si>
  <si>
    <t>AnswerRun|ResolveSelfCorrectable|EscalateToDecision</t>
  </si>
  <si>
    <t>AnswerRun only -- addresses the paused RUN, not the escalation id</t>
  </si>
  <si>
    <t>ResolveSelfCorrectable|EscalateToDecision only -- addresses the escalation id</t>
  </si>
  <si>
    <t>Approve|Reject|Revise|Hold|Noted -- AnswerRun only</t>
  </si>
  <si>
    <t>required, no default -- Claude|Researcher</t>
  </si>
  <si>
    <t>ResolveSelfCorrectable only (required)</t>
  </si>
  <si>
    <t>EscalateToDecision only (required)</t>
  </si>
  <si>
    <t>AnswerRun optional (required if -Decision Revise); not used by the other two</t>
  </si>
  <si>
    <t>Despatcher action</t>
  </si>
  <si>
    <t>AnswerRun</t>
  </si>
  <si>
    <t>RUN-20260829_063456_930-CONFIGMAINT</t>
  </si>
  <si>
    <t>Approve</t>
  </si>
  <si>
    <t>ResolveSelfCorrectable</t>
  </si>
  <si>
    <t>usage error, not a code defect -- retried immediately with the missing flag included</t>
  </si>
  <si>
    <t>EscalateToDecision</t>
  </si>
  <si>
    <t>widened the retry window, but the limit is a design choice</t>
  </si>
  <si>
    <t>Correction</t>
  </si>
  <si>
    <t>required</t>
  </si>
  <si>
    <t>the corrected title -- most common use (escalation #774): fixing a wrongly-worded title</t>
  </si>
  <si>
    <t>any value -- Correction can set state to ANY value, unlike Update</t>
  </si>
  <si>
    <t>if correcting a resolution</t>
  </si>
  <si>
    <t>if correcting a tried</t>
  </si>
  <si>
    <t>the reason for the correction</t>
  </si>
  <si>
    <t>correction</t>
  </si>
  <si>
    <t>original title had a typo</t>
  </si>
  <si>
    <t>Schema overview report</t>
  </si>
  <si>
    <t>There is no schema overview report for Bible_research_DB</t>
  </si>
  <si>
    <t>noted</t>
  </si>
  <si>
    <t>proceed</t>
  </si>
  <si>
    <t>Can you verify that this block is now removed. Done through the developer mode work.  If so, you can push this through to ready for approval and sign off</t>
  </si>
  <si>
    <t xml:space="preserve"> -ResolutionKind DecisionRequired -NextAction approved -AssignedTo Claude   -Comment ' processed configs'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</si>
</sst>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333333"/>
      <name val="Consolas"/>
      <family val="2"/>
    </font>
    <font>
      <sz val="11"/>
      <color rgb="FF00008B"/>
      <name val="Consolas"/>
      <family val="2"/>
    </font>
    <font>
      <sz val="11"/>
      <color rgb="FF000000"/>
      <name val="Consolas"/>
      <family val="2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2">
    <xf numFmtId="0" fontId="0" fillId="0" borderId="1"/>
    <xf numFmtId="43" fontId="6" fillId="0" borderId="1"/>
  </cellStyleXfs>
  <cellXfs count="20">
    <xf numFmtId="0" fontId="0" fillId="0" borderId="0" xfId="0" applyBorder="1"/>
    <xf numFmtId="0" fontId="0" fillId="0" borderId="0" xfId="0" applyBorder="1" applyAlignment="1">
      <alignment wrapText="1"/>
    </xf>
    <xf numFmtId="0" fontId="1" fillId="0" borderId="1" xfId="0" applyFont="1" applyAlignment="1">
      <alignment horizontal="left" wrapText="1"/>
    </xf>
    <xf numFmtId="0" fontId="2" fillId="0" borderId="1" xfId="0" applyFont="1" applyAlignment="1">
      <alignment horizontal="left" wrapText="1"/>
    </xf>
    <xf numFmtId="0" fontId="3" fillId="0" borderId="1" xfId="0" applyFont="1" applyAlignment="1">
      <alignment horizontal="left" wrapText="1"/>
    </xf>
    <xf numFmtId="0" fontId="4" fillId="0" borderId="1" xfId="0" applyFont="1" applyAlignment="1">
      <alignment horizontal="left" wrapText="1"/>
    </xf>
    <xf numFmtId="0" fontId="5" fillId="0" borderId="1" xfId="0" applyFont="1" applyAlignment="1">
      <alignment horizontal="left" wrapText="1"/>
    </xf>
    <xf numFmtId="0" fontId="2" fillId="2" borderId="2" xfId="0" applyFont="1" applyFill="1" applyBorder="1" applyAlignment="1">
      <alignment horizontal="left" wrapText="1"/>
    </xf>
    <xf numFmtId="0" fontId="2" fillId="2" borderId="2" xfId="0" applyFont="1" applyFill="1" applyBorder="1" applyAlignment="1">
      <alignment horizontal="left"/>
    </xf>
    <xf numFmtId="0" fontId="1" fillId="0" borderId="1" xfId="0" quotePrefix="1" applyFont="1" applyAlignment="1">
      <alignment horizontal="left" wrapText="1"/>
    </xf>
    <xf numFmtId="0" fontId="1" fillId="0" borderId="0" xfId="0" applyFont="1" applyBorder="1" applyAlignment="1">
      <alignment horizontal="left" wrapText="1"/>
    </xf>
    <xf numFmtId="0" fontId="3" fillId="0" borderId="0" xfId="0" applyFont="1" applyBorder="1"/>
    <xf numFmtId="0" fontId="0" fillId="0" borderId="0" xfId="0" quotePrefix="1" applyBorder="1"/>
    <xf numFmtId="0" fontId="2" fillId="2" borderId="2" xfId="1" applyNumberFormat="1" applyFont="1" applyFill="1" applyBorder="1" applyAlignment="1">
      <alignment horizontal="right"/>
    </xf>
    <xf numFmtId="0" fontId="7" fillId="0" borderId="0" xfId="0" applyFont="1" applyBorder="1" applyAlignment="1">
      <alignment wrapText="1"/>
    </xf>
    <xf numFmtId="0" fontId="8" fillId="0" borderId="0" xfId="0" applyFont="1" applyBorder="1" applyAlignment="1">
      <alignment wrapText="1"/>
    </xf>
    <xf numFmtId="0" fontId="1" fillId="0" borderId="1" xfId="0" applyFont="1" applyAlignment="1">
      <alignment horizontal="right"/>
    </xf>
    <xf numFmtId="0" fontId="1" fillId="0" borderId="1" xfId="0" applyFont="1" applyAlignment="1">
      <alignment horizontal="right" wrapText="1"/>
    </xf>
    <xf numFmtId="0" fontId="2" fillId="2" borderId="2" xfId="0" applyFont="1" applyFill="1" applyBorder="1" applyAlignment="1">
      <alignment horizontal="right"/>
    </xf>
    <xf numFmtId="0" fontId="2" fillId="0" borderId="1" xfId="0" applyFont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S35"/>
  <sheetViews>
    <sheetView tabSelected="1" topLeftCell="B13" workbookViewId="0">
      <selection activeCell="C14" sqref="C14"/>
    </sheetView>
  </sheetViews>
  <sheetFormatPr defaultRowHeight="15" x14ac:dyDescent="0.25"/>
  <cols>
    <col min="1" max="2" width="18" style="1" bestFit="1" customWidth="1"/>
    <col min="3" max="3" width="31.85546875" style="1" bestFit="1" customWidth="1"/>
    <col min="4" max="4" width="14.5703125" style="1" bestFit="1" customWidth="1"/>
    <col min="5" max="5" width="13.140625" style="1" bestFit="1" customWidth="1"/>
    <col min="6" max="6" width="13.5703125" bestFit="1" customWidth="1"/>
    <col min="7" max="7" width="17.7109375" style="1" bestFit="1" customWidth="1"/>
    <col min="8" max="8" width="15.42578125" style="1" bestFit="1" customWidth="1"/>
    <col min="9" max="9" width="13.5703125" style="1" bestFit="1" customWidth="1"/>
    <col min="10" max="10" width="14.7109375" style="1" bestFit="1" customWidth="1"/>
    <col min="11" max="12" width="13" style="1" bestFit="1" customWidth="1"/>
    <col min="13" max="13" width="24.42578125" style="1" bestFit="1" customWidth="1"/>
    <col min="14" max="14" width="22" style="1" bestFit="1" customWidth="1"/>
    <col min="15" max="15" width="13.5703125" bestFit="1" customWidth="1"/>
    <col min="16" max="19" width="13.5703125" customWidth="1"/>
  </cols>
  <sheetData>
    <row r="1" spans="1:19" ht="18.75" customHeight="1" x14ac:dyDescent="0.3">
      <c r="A1" s="15" t="s">
        <v>1</v>
      </c>
      <c r="C1" s="2"/>
      <c r="E1" s="2"/>
      <c r="F1" s="16"/>
      <c r="G1" s="2"/>
      <c r="H1" s="2"/>
      <c r="I1" s="2"/>
      <c r="J1" s="2"/>
      <c r="L1" s="2"/>
      <c r="M1" s="2"/>
      <c r="N1" s="2"/>
    </row>
    <row r="2" spans="1:19" ht="18.75" customHeight="1" x14ac:dyDescent="0.25">
      <c r="C2" s="2"/>
      <c r="E2" s="2"/>
      <c r="F2" s="16"/>
      <c r="G2" s="2"/>
      <c r="H2" s="2"/>
      <c r="I2" s="2"/>
      <c r="J2" s="2"/>
      <c r="L2" s="2"/>
      <c r="M2" s="2"/>
      <c r="N2" s="2"/>
    </row>
    <row r="3" spans="1:19" ht="31.5" customHeight="1" x14ac:dyDescent="0.3">
      <c r="A3" s="15" t="s">
        <v>2</v>
      </c>
      <c r="C3" s="2"/>
      <c r="E3" s="2"/>
      <c r="F3" s="16"/>
      <c r="G3" s="2"/>
      <c r="H3" s="2"/>
      <c r="I3" s="2"/>
      <c r="J3" s="2"/>
      <c r="L3" s="2"/>
      <c r="M3" s="2"/>
      <c r="N3" s="2"/>
    </row>
    <row r="4" spans="1:19" s="1" customFormat="1" ht="19.5" customHeight="1" x14ac:dyDescent="0.25">
      <c r="A4" s="2"/>
      <c r="B4" s="2" t="s">
        <v>3</v>
      </c>
      <c r="C4" s="3" t="s">
        <v>4</v>
      </c>
      <c r="D4" s="2" t="s">
        <v>5</v>
      </c>
      <c r="E4" s="2" t="s">
        <v>6</v>
      </c>
      <c r="F4" s="2" t="s">
        <v>7</v>
      </c>
      <c r="G4" s="3" t="s">
        <v>8</v>
      </c>
      <c r="H4" s="2" t="s">
        <v>9</v>
      </c>
      <c r="I4" s="2" t="s">
        <v>10</v>
      </c>
      <c r="J4" s="2" t="s">
        <v>11</v>
      </c>
      <c r="K4" s="2" t="s">
        <v>12</v>
      </c>
      <c r="L4" s="2" t="s">
        <v>13</v>
      </c>
      <c r="M4" s="3" t="s">
        <v>14</v>
      </c>
      <c r="N4" s="3" t="s">
        <v>15</v>
      </c>
      <c r="O4" s="2" t="s">
        <v>16</v>
      </c>
      <c r="P4" s="10" t="s">
        <v>17</v>
      </c>
      <c r="Q4" s="10" t="s">
        <v>18</v>
      </c>
      <c r="R4" s="10" t="s">
        <v>19</v>
      </c>
      <c r="S4" s="10" t="s">
        <v>20</v>
      </c>
    </row>
    <row r="5" spans="1:19" s="1" customFormat="1" ht="87" customHeight="1" x14ac:dyDescent="0.25">
      <c r="A5" s="2"/>
      <c r="B5" s="2"/>
      <c r="C5" s="2"/>
      <c r="D5" s="2"/>
      <c r="E5" s="2"/>
      <c r="F5" s="17"/>
      <c r="G5" s="3" t="s">
        <v>21</v>
      </c>
      <c r="H5" s="4" t="s">
        <v>22</v>
      </c>
      <c r="I5" s="3" t="s">
        <v>23</v>
      </c>
      <c r="J5" s="5" t="s">
        <v>24</v>
      </c>
      <c r="K5" s="2"/>
      <c r="L5" s="6" t="s">
        <v>25</v>
      </c>
      <c r="M5" s="2"/>
      <c r="N5" s="2"/>
      <c r="O5" s="2"/>
      <c r="P5" s="11" t="s">
        <v>26</v>
      </c>
      <c r="Q5" s="11" t="s">
        <v>27</v>
      </c>
      <c r="R5" s="11" t="s">
        <v>28</v>
      </c>
      <c r="S5" s="11" t="s">
        <v>29</v>
      </c>
    </row>
    <row r="6" spans="1:19" s="1" customFormat="1" ht="100.5" customHeight="1" x14ac:dyDescent="0.25">
      <c r="A6" s="2" t="s">
        <v>30</v>
      </c>
      <c r="B6" s="2" t="s">
        <v>31</v>
      </c>
      <c r="C6" s="3" t="str">
        <f>D6&amp;" " &amp;$E$4&amp;" "&amp;E6&amp;" "  &amp;$G$4&amp;" '"&amp;G6&amp;"' "&amp;$H$4&amp;" "&amp;H6&amp;" " &amp;$I$4&amp;" "&amp;I6&amp; " " &amp;$K$4 &amp; " " &amp;K6 &amp; " " &amp;$M$4&amp;" '" &amp; M6 &amp; "' " &amp;$N$4&amp;" '" &amp; N6 &amp;"' "</f>
        <v xml:space="preserve">iba\app\ps\Escalation.ps1 -action raise -Question 'Schema overview report' -ResolutionKind DecisionRequired -Type issue -AssignedTo Researcher -Comment 'There is no schema overview report for Bible_research_DB' -Context '' </v>
      </c>
      <c r="D6" s="2" t="s">
        <v>32</v>
      </c>
      <c r="E6" s="2" t="s">
        <v>33</v>
      </c>
      <c r="F6" s="17"/>
      <c r="G6" s="7" t="s">
        <v>102</v>
      </c>
      <c r="H6" s="2" t="s">
        <v>34</v>
      </c>
      <c r="I6" s="2" t="s">
        <v>35</v>
      </c>
      <c r="J6" s="2"/>
      <c r="K6" s="2" t="s">
        <v>36</v>
      </c>
      <c r="L6" s="2"/>
      <c r="M6" s="7" t="s">
        <v>103</v>
      </c>
      <c r="N6" s="7"/>
      <c r="O6" s="2"/>
    </row>
    <row r="7" spans="1:19" s="1" customFormat="1" ht="154.5" customHeight="1" x14ac:dyDescent="0.25">
      <c r="A7" s="2"/>
      <c r="B7" s="2" t="s">
        <v>38</v>
      </c>
      <c r="C7" s="3" t="str">
        <f>D7&amp;" " &amp;$E$4&amp;" "&amp;E7&amp;" "  &amp;$G$4&amp;" ' "&amp;G7&amp;" ' "&amp;$H$4&amp;" "&amp;H7&amp;" " &amp;$I$4&amp;" "&amp;I7&amp; " " &amp;$K$4 &amp; " " &amp;K7 &amp; " " &amp;$M$4&amp;" ' " &amp; M7 &amp; " ' " &amp;$N$4&amp;" ' " &amp; N7 &amp;" ' "</f>
        <v xml:space="preserve">iba\app\ps\Escalation.ps1 -action raise -Question ' config table purpose ' -ResolutionKind DecisionRequired -Type task -AssignedTo Researcher -Comment ' Add two additional config entries for each cfg table: a)a) purpose - the purpose of this table is to …....why does it exist, what does it do, the scope it covers b) success - what must this table have to be successful ' -Context '  ' </v>
      </c>
      <c r="D7" s="2" t="s">
        <v>32</v>
      </c>
      <c r="E7" s="2" t="s">
        <v>33</v>
      </c>
      <c r="F7" s="17"/>
      <c r="G7" s="7" t="s">
        <v>39</v>
      </c>
      <c r="H7" s="2" t="s">
        <v>34</v>
      </c>
      <c r="I7" s="2" t="s">
        <v>40</v>
      </c>
      <c r="J7" s="2"/>
      <c r="K7" s="2" t="s">
        <v>36</v>
      </c>
      <c r="L7" s="2"/>
      <c r="M7" s="7" t="s">
        <v>41</v>
      </c>
      <c r="N7" s="7"/>
      <c r="O7" s="2"/>
    </row>
    <row r="8" spans="1:19" s="1" customFormat="1" ht="87" customHeight="1" x14ac:dyDescent="0.25">
      <c r="A8" s="2"/>
      <c r="B8" s="2" t="s">
        <v>42</v>
      </c>
      <c r="C8" s="3" t="str">
        <f>D8&amp;" " &amp;$E$4&amp;" "&amp;E8&amp;" "  &amp;$G$4&amp;" '"&amp;G8&amp;"' "&amp;$H$4&amp;" "&amp;H8&amp;" " &amp;$I$4&amp;" "&amp;I8&amp; " " &amp;$K$4 &amp; " " &amp;K8 &amp; " " &amp;$M$4&amp;" '" &amp; M8 &amp; "' " &amp;$N$4&amp;" '" &amp; N8 &amp;"' "</f>
        <v xml:space="preserve">iba\app\ps\Escalation.ps1 -action raise -Question 'title' -ResolutionKind DecisionRequired -Type notice -AssignedTo Researcher -Comment 'assigment' -Context 'more info' </v>
      </c>
      <c r="D8" s="2" t="s">
        <v>32</v>
      </c>
      <c r="E8" s="2" t="s">
        <v>33</v>
      </c>
      <c r="F8" s="17"/>
      <c r="G8" s="7" t="s">
        <v>43</v>
      </c>
      <c r="H8" s="2" t="s">
        <v>34</v>
      </c>
      <c r="I8" s="2" t="s">
        <v>44</v>
      </c>
      <c r="J8" s="2"/>
      <c r="K8" s="2" t="s">
        <v>36</v>
      </c>
      <c r="L8" s="2"/>
      <c r="M8" s="7" t="s">
        <v>45</v>
      </c>
      <c r="N8" s="7" t="s">
        <v>37</v>
      </c>
      <c r="O8" s="2"/>
    </row>
    <row r="9" spans="1:19" ht="18.75" customHeight="1" x14ac:dyDescent="0.25">
      <c r="C9" s="2"/>
      <c r="E9" s="2"/>
      <c r="F9" s="16"/>
      <c r="G9" s="2"/>
      <c r="H9" s="2"/>
      <c r="I9" s="2"/>
      <c r="J9" s="2"/>
      <c r="L9" s="2"/>
      <c r="M9" s="2"/>
      <c r="N9" s="2"/>
    </row>
    <row r="10" spans="1:19" ht="18.75" customHeight="1" x14ac:dyDescent="0.25">
      <c r="C10" s="2"/>
      <c r="E10" s="2"/>
      <c r="F10" s="16"/>
      <c r="G10" s="2"/>
      <c r="H10" s="2"/>
      <c r="I10" s="2"/>
      <c r="J10" s="2"/>
      <c r="L10" s="2"/>
      <c r="M10" s="2"/>
      <c r="N10" s="2"/>
    </row>
    <row r="11" spans="1:19" ht="82.5" customHeight="1" x14ac:dyDescent="0.25">
      <c r="A11" s="1" t="s">
        <v>46</v>
      </c>
      <c r="B11" s="1" t="s">
        <v>47</v>
      </c>
      <c r="C11" s="3" t="str">
        <f>D11&amp;" " &amp;$E$4&amp;" "&amp;E11&amp;" " &amp;$F$4&amp;" "&amp;F11&amp;" "  &amp;$H$4&amp;" "&amp;H11&amp;" " &amp;$J$4&amp;" "&amp;J11&amp; " " &amp;$K$4 &amp; " " &amp;K11 &amp; " " &amp;$L$4 &amp; " " &amp;L11 &amp; " " &amp;$M$4&amp;" ' " &amp; M11 &amp; " ' " &amp;$N$4&amp;" ' " &amp; N11 &amp;" ' "</f>
        <v xml:space="preserve">iba\app\ps\Escalation.ps1 -action update -Id 1320 -ResolutionKind DecisionRequired -NextAction review -AssignedTo Claude -State in-progress -Comment ' proceed ' -Context '  ' </v>
      </c>
      <c r="D11" s="1" t="s">
        <v>32</v>
      </c>
      <c r="E11" s="2" t="s">
        <v>48</v>
      </c>
      <c r="F11" s="18">
        <v>1320</v>
      </c>
      <c r="G11" s="2"/>
      <c r="H11" s="2" t="s">
        <v>34</v>
      </c>
      <c r="I11" s="2"/>
      <c r="J11" s="2" t="s">
        <v>47</v>
      </c>
      <c r="K11" s="1" t="s">
        <v>49</v>
      </c>
      <c r="L11" s="2" t="s">
        <v>50</v>
      </c>
      <c r="M11" s="7" t="s">
        <v>105</v>
      </c>
      <c r="N11" s="7"/>
    </row>
    <row r="12" spans="1:19" ht="82.5" customHeight="1" x14ac:dyDescent="0.25">
      <c r="B12" s="1" t="s">
        <v>51</v>
      </c>
      <c r="C12" s="3" t="str">
        <f>D12&amp;" " &amp;$E$4&amp;" "&amp;E12&amp;" " &amp;$F$4&amp;" "&amp;F12&amp;" "  &amp;$H$4&amp;" "&amp;H12&amp;" " &amp;$J$4&amp;" "&amp;J12&amp; " " &amp;$K$4 &amp; " " &amp;K12 &amp; " " &amp;$L$4 &amp; " " &amp;L12 &amp; " " &amp;$M$4&amp;" '" &amp; M12 &amp; "' " &amp;$N$4&amp;" '" &amp; N12 &amp;"' "</f>
        <v xml:space="preserve">iba\app\ps\Escalation.ps1 -action update -Id 1327 -ResolutionKind DecisionRequired -NextAction revise -AssignedTo Claude -State in-progress -Comment 'Can you verify that this block is now removed. Done through the developer mode work.  If so, you can push this through to ready for approval and sign off' -Context '' </v>
      </c>
      <c r="D12" s="1" t="s">
        <v>32</v>
      </c>
      <c r="E12" s="2" t="s">
        <v>48</v>
      </c>
      <c r="F12" s="18">
        <v>1327</v>
      </c>
      <c r="G12" s="2"/>
      <c r="H12" s="2" t="s">
        <v>34</v>
      </c>
      <c r="I12" s="2"/>
      <c r="J12" s="2" t="s">
        <v>51</v>
      </c>
      <c r="K12" s="1" t="s">
        <v>49</v>
      </c>
      <c r="L12" s="2" t="s">
        <v>50</v>
      </c>
      <c r="M12" s="7" t="s">
        <v>106</v>
      </c>
      <c r="N12" s="7"/>
    </row>
    <row r="13" spans="1:19" ht="108" customHeight="1" x14ac:dyDescent="0.25">
      <c r="B13" s="1" t="s">
        <v>52</v>
      </c>
      <c r="C13" s="3" t="str">
        <f>D13&amp;" " &amp;$E$4&amp;" "&amp;E13&amp;" " &amp;$F$4&amp;" "&amp;F13&amp;" "  &amp;$H$4&amp;" "&amp;H13&amp;" " &amp;$J$4&amp;" "&amp;J13&amp; " " &amp;$K$4 &amp; " " &amp;K13 &amp; " "&amp;$L$4 &amp; " " &amp;L13 &amp; " " &amp;$M$4&amp;" '" &amp; M13 &amp; "' " &amp;$N$4&amp;" '" &amp; N13 &amp;"' " &amp;$O$4 &amp; " '"&amp; O13 &amp;"'"</f>
        <v>iba\app\ps\Escalation.ps1 -action update -Id 921 -ResolutionKind DecisionRequired -NextAction ready_for_approval -AssignedTo Researcher -State in-progress -Comment 'Set to ready for approval' -Context '' -Resolution 'Resolution required'</v>
      </c>
      <c r="D13" s="1" t="s">
        <v>32</v>
      </c>
      <c r="E13" s="2" t="s">
        <v>48</v>
      </c>
      <c r="F13" s="18">
        <v>921</v>
      </c>
      <c r="G13" s="2"/>
      <c r="H13" s="2" t="s">
        <v>34</v>
      </c>
      <c r="I13" s="2"/>
      <c r="J13" s="2" t="s">
        <v>53</v>
      </c>
      <c r="K13" s="1" t="s">
        <v>36</v>
      </c>
      <c r="L13" s="2" t="s">
        <v>50</v>
      </c>
      <c r="M13" s="7" t="s">
        <v>54</v>
      </c>
      <c r="N13" s="7"/>
      <c r="O13" s="8" t="s">
        <v>55</v>
      </c>
    </row>
    <row r="14" spans="1:19" ht="95.25" customHeight="1" x14ac:dyDescent="0.25">
      <c r="B14" s="1" t="s">
        <v>56</v>
      </c>
      <c r="C14" s="3" t="str">
        <f>D14&amp;" " &amp;$E$4&amp;" "&amp;E14&amp;" " &amp;$F$4&amp;" "&amp;F14&amp;" "  &amp;$H$4&amp;" "&amp;H14&amp;" " &amp;$J$4&amp;" "&amp;J14&amp; " " &amp;$K$4 &amp; " " &amp;K14 &amp; " " &amp;$M$4&amp;" ' " &amp; M14 &amp; " ' "</f>
        <v xml:space="preserve">iba\app\ps\Escalation.ps1 -action update -Id 1327 -ResolutionKind DecisionRequired -NextAction approved -AssignedTo Claude -Comment ' noted ' </v>
      </c>
      <c r="D14" s="1" t="s">
        <v>32</v>
      </c>
      <c r="E14" s="2" t="s">
        <v>48</v>
      </c>
      <c r="F14" s="13">
        <v>1327</v>
      </c>
      <c r="G14" s="2"/>
      <c r="H14" s="2" t="s">
        <v>34</v>
      </c>
      <c r="I14" s="2"/>
      <c r="J14" s="2" t="s">
        <v>57</v>
      </c>
      <c r="K14" s="1" t="s">
        <v>49</v>
      </c>
      <c r="L14" s="2"/>
      <c r="M14" s="7" t="s">
        <v>104</v>
      </c>
      <c r="N14" s="7"/>
    </row>
    <row r="15" spans="1:19" ht="108" customHeight="1" x14ac:dyDescent="0.25">
      <c r="B15" s="1" t="s">
        <v>58</v>
      </c>
      <c r="C15" s="3" t="str">
        <f>D15&amp;" " &amp;$E$4&amp;" "&amp;E15&amp;" " &amp;$F$4&amp;" "&amp;F15&amp;" "  &amp;$H$4&amp;" "&amp;H15&amp;" " &amp;$J$4&amp;" "&amp;J15&amp; " " &amp;$K$4 &amp; " " &amp;K15 &amp; " "&amp;$L$4 &amp; " " &amp;L15 &amp; " " &amp;$M$4&amp;" '" &amp; M15 &amp; "' " &amp;$N$4&amp;" '" &amp; N15 &amp;"' " &amp;$O$4 &amp; " '"&amp; O15 &amp;"'"</f>
        <v>iba\app\ps\Escalation.ps1 -action update -Id 9 -ResolutionKind  -NextAction reject -AssignedTo Claude -State supersede -Comment 'substantial work has gone into governance, and I am not planning to do a another full sweep of governance' -Context '' -Resolution ''</v>
      </c>
      <c r="D15" s="1" t="s">
        <v>32</v>
      </c>
      <c r="E15" s="2" t="s">
        <v>48</v>
      </c>
      <c r="F15" s="18">
        <v>9</v>
      </c>
      <c r="G15" s="2"/>
      <c r="H15" s="2"/>
      <c r="I15" s="2"/>
      <c r="J15" s="2" t="s">
        <v>59</v>
      </c>
      <c r="K15" s="1" t="s">
        <v>49</v>
      </c>
      <c r="L15" s="2" t="s">
        <v>60</v>
      </c>
      <c r="M15" s="7" t="s">
        <v>61</v>
      </c>
      <c r="N15" s="7"/>
    </row>
    <row r="16" spans="1:19" ht="82.5" customHeight="1" x14ac:dyDescent="0.25">
      <c r="B16" s="1" t="s">
        <v>59</v>
      </c>
      <c r="C16" s="3" t="str">
        <f>D16&amp;" " &amp;$E$4&amp;" "&amp;E16&amp;" " &amp;$F$4&amp;" "&amp;F16&amp;" "  &amp;$H$4&amp;" "&amp;H16&amp;" " &amp;$J$4&amp;" "&amp;J16&amp; " " &amp;$K$4 &amp; " " &amp;K16 &amp; " "&amp;$L$4 &amp; " " &amp;L16 &amp; " " &amp;$M$4&amp;" '" &amp; M16 &amp; "' " &amp;$N$4&amp;" '" &amp; N16 &amp;"' " &amp;$O$4 &amp; " '"&amp; O16 &amp;"'"</f>
        <v>iba\app\ps\Escalation.ps1 -action update -Id 1343 -ResolutionKind DecisionRequired -NextAction reject -AssignedTo Claude -State withdraw -Comment 'not approved, to be redesigned' -Context '' -Resolution ''</v>
      </c>
      <c r="D16" s="1" t="s">
        <v>32</v>
      </c>
      <c r="E16" s="2" t="s">
        <v>48</v>
      </c>
      <c r="F16" s="18">
        <v>1343</v>
      </c>
      <c r="G16" s="2"/>
      <c r="H16" s="2" t="s">
        <v>34</v>
      </c>
      <c r="I16" s="2"/>
      <c r="J16" s="2" t="s">
        <v>59</v>
      </c>
      <c r="K16" s="1" t="s">
        <v>49</v>
      </c>
      <c r="L16" s="2" t="s">
        <v>62</v>
      </c>
      <c r="M16" s="7" t="s">
        <v>63</v>
      </c>
      <c r="N16" s="7"/>
    </row>
    <row r="17" spans="1:15" ht="82.5" customHeight="1" x14ac:dyDescent="0.25">
      <c r="A17" s="1" t="s">
        <v>67</v>
      </c>
      <c r="B17" s="1" t="s">
        <v>64</v>
      </c>
      <c r="C17" s="3" t="str">
        <f>D17&amp;" " &amp;$E$4&amp;" "&amp;E17&amp;" " &amp;$F$4&amp;" "&amp;F17&amp;" "  &amp;IF(J17="","",$J$4&amp;" "&amp;J17&amp;" ") &amp;$K$4 &amp; " " &amp;K17 &amp; " "&amp;$L$4 &amp; " " &amp;L17 &amp; " " &amp;$M$4&amp;" '" &amp; M17 &amp; "' " &amp;$N$4&amp;" '" &amp; N17 &amp;"' " &amp;$O$4 &amp; " '"&amp; O17 &amp;"'"</f>
        <v>iba\app\ps\Escalation.ps1 -action update -Id 1022 -AssignedTo Researcher -State on-hold -Comment 'set to on hold' -Context '' -Resolution ''</v>
      </c>
      <c r="D17" s="1" t="s">
        <v>32</v>
      </c>
      <c r="E17" s="2" t="s">
        <v>48</v>
      </c>
      <c r="F17" s="18">
        <v>1022</v>
      </c>
      <c r="G17" s="2"/>
      <c r="H17" s="2"/>
      <c r="I17" s="2"/>
      <c r="J17" s="2"/>
      <c r="K17" s="1" t="s">
        <v>36</v>
      </c>
      <c r="L17" s="2" t="s">
        <v>65</v>
      </c>
      <c r="M17" s="7" t="s">
        <v>66</v>
      </c>
      <c r="N17" s="7"/>
    </row>
    <row r="18" spans="1:15" ht="18.75" customHeight="1" x14ac:dyDescent="0.25">
      <c r="C18" s="2"/>
      <c r="E18" s="2"/>
      <c r="F18" s="16"/>
      <c r="G18" s="2"/>
      <c r="H18" s="2"/>
      <c r="I18" s="2"/>
      <c r="J18" s="2"/>
      <c r="L18" s="2"/>
      <c r="M18" s="2"/>
      <c r="N18" s="2"/>
    </row>
    <row r="19" spans="1:15" ht="18.75" customHeight="1" x14ac:dyDescent="0.3">
      <c r="A19" s="15" t="s">
        <v>68</v>
      </c>
      <c r="C19" s="2"/>
      <c r="E19" s="2"/>
      <c r="F19" s="16"/>
      <c r="G19" s="2"/>
      <c r="H19" s="2"/>
      <c r="I19" s="2"/>
      <c r="J19" s="2"/>
      <c r="L19" s="2"/>
      <c r="M19" s="2"/>
      <c r="N19" s="2"/>
    </row>
    <row r="20" spans="1:15" ht="18.75" customHeight="1" x14ac:dyDescent="0.25">
      <c r="C20" s="2"/>
      <c r="E20" s="2"/>
      <c r="F20" s="16"/>
      <c r="G20" s="2"/>
      <c r="H20" s="2"/>
      <c r="I20" s="2"/>
      <c r="J20" s="2"/>
      <c r="L20" s="2"/>
      <c r="M20" s="2"/>
      <c r="N20" s="2"/>
    </row>
    <row r="21" spans="1:15" ht="43.5" customHeight="1" x14ac:dyDescent="0.25">
      <c r="A21" s="1" t="s">
        <v>69</v>
      </c>
      <c r="C21" s="3" t="str">
        <f>D21&amp;" " &amp;$E$4&amp;" "&amp;E21&amp;" " &amp;$F$4 &amp; " " &amp;F21</f>
        <v>iba\app\ps\Escalation.ps1 -action History -Id 851</v>
      </c>
      <c r="D21" s="1" t="s">
        <v>32</v>
      </c>
      <c r="E21" s="2" t="s">
        <v>70</v>
      </c>
      <c r="F21" s="19">
        <v>851</v>
      </c>
      <c r="G21" s="2"/>
      <c r="H21" s="2"/>
      <c r="I21" s="2"/>
      <c r="J21" s="2"/>
      <c r="L21" s="2"/>
      <c r="M21" s="2"/>
      <c r="N21" s="2"/>
    </row>
    <row r="22" spans="1:15" ht="18.75" customHeight="1" x14ac:dyDescent="0.25">
      <c r="C22" s="2"/>
      <c r="E22" s="2"/>
      <c r="F22" s="16"/>
      <c r="G22" s="2"/>
      <c r="H22" s="2"/>
      <c r="I22" s="2"/>
      <c r="J22" s="2"/>
      <c r="L22" s="2"/>
      <c r="M22" s="2"/>
      <c r="N22" s="2"/>
    </row>
    <row r="23" spans="1:15" s="1" customFormat="1" ht="46.5" customHeight="1" x14ac:dyDescent="0.25">
      <c r="A23" s="2" t="s">
        <v>71</v>
      </c>
      <c r="B23" s="2"/>
      <c r="C23" s="3" t="str">
        <f>D23&amp;" " &amp;$E$4&amp;" "&amp;E23&amp;" "</f>
        <v xml:space="preserve">iba\app\ps\Escalation.ps1 -action List </v>
      </c>
      <c r="D23" s="2" t="s">
        <v>32</v>
      </c>
      <c r="E23" s="2" t="s">
        <v>72</v>
      </c>
      <c r="F23" s="17"/>
      <c r="G23" s="2"/>
      <c r="H23" s="2"/>
      <c r="I23" s="2"/>
      <c r="J23" s="2"/>
      <c r="K23" s="2"/>
      <c r="L23" s="2"/>
      <c r="M23" s="2"/>
      <c r="N23" s="2"/>
      <c r="O23" s="2"/>
    </row>
    <row r="24" spans="1:15" ht="18.75" customHeight="1" x14ac:dyDescent="0.25">
      <c r="C24" s="2"/>
      <c r="E24" s="2"/>
      <c r="F24" s="16"/>
      <c r="G24" s="2"/>
      <c r="H24" s="2"/>
      <c r="I24" s="2"/>
      <c r="J24" s="2"/>
      <c r="L24" s="2"/>
      <c r="M24" s="2"/>
      <c r="N24" s="2"/>
    </row>
    <row r="25" spans="1:15" ht="18.75" customHeight="1" x14ac:dyDescent="0.25">
      <c r="C25" s="2"/>
      <c r="E25" s="2"/>
      <c r="F25" s="16"/>
      <c r="G25" s="2"/>
      <c r="H25" s="2"/>
      <c r="I25" s="2"/>
      <c r="J25" s="2"/>
      <c r="L25" s="2"/>
      <c r="M25" s="2"/>
      <c r="N25" s="2"/>
    </row>
    <row r="26" spans="1:15" ht="18.75" customHeight="1" x14ac:dyDescent="0.25">
      <c r="A26" s="14" t="s">
        <v>73</v>
      </c>
      <c r="C26" s="2"/>
      <c r="E26" s="2"/>
      <c r="F26" s="16"/>
      <c r="G26" s="2"/>
      <c r="H26" s="2"/>
      <c r="I26" s="2"/>
      <c r="J26" s="2"/>
      <c r="L26" s="2"/>
      <c r="M26" s="2"/>
      <c r="N26" s="2"/>
    </row>
    <row r="27" spans="1:15" s="1" customFormat="1" ht="30.75" customHeight="1" x14ac:dyDescent="0.25">
      <c r="A27" s="2"/>
      <c r="B27" s="2" t="s">
        <v>3</v>
      </c>
      <c r="C27" s="2" t="s">
        <v>4</v>
      </c>
      <c r="D27" s="2" t="s">
        <v>5</v>
      </c>
      <c r="E27" s="2" t="s">
        <v>6</v>
      </c>
      <c r="F27" s="2" t="s">
        <v>74</v>
      </c>
      <c r="G27" s="2" t="s">
        <v>7</v>
      </c>
      <c r="H27" s="9" t="s">
        <v>75</v>
      </c>
      <c r="I27" s="9" t="s">
        <v>76</v>
      </c>
      <c r="J27" s="2" t="s">
        <v>16</v>
      </c>
      <c r="K27" s="2" t="s">
        <v>20</v>
      </c>
      <c r="L27" s="9" t="s">
        <v>14</v>
      </c>
      <c r="M27" s="3"/>
      <c r="N27" s="3"/>
      <c r="O27" s="2"/>
    </row>
    <row r="28" spans="1:15" s="1" customFormat="1" ht="60" customHeight="1" x14ac:dyDescent="0.25">
      <c r="A28" s="2"/>
      <c r="B28" s="2"/>
      <c r="C28" s="2"/>
      <c r="D28" s="2"/>
      <c r="E28" s="3" t="s">
        <v>77</v>
      </c>
      <c r="F28" s="3" t="s">
        <v>78</v>
      </c>
      <c r="G28" s="3" t="s">
        <v>79</v>
      </c>
      <c r="H28" s="3" t="s">
        <v>80</v>
      </c>
      <c r="I28" s="3" t="s">
        <v>81</v>
      </c>
      <c r="J28" s="3" t="s">
        <v>82</v>
      </c>
      <c r="K28" s="3" t="s">
        <v>83</v>
      </c>
      <c r="L28" s="3" t="s">
        <v>84</v>
      </c>
      <c r="M28" s="2"/>
      <c r="N28" s="2"/>
      <c r="O28" s="2"/>
    </row>
    <row r="29" spans="1:15" ht="39.75" customHeight="1" x14ac:dyDescent="0.25">
      <c r="A29" s="1" t="s">
        <v>85</v>
      </c>
      <c r="B29" s="2" t="s">
        <v>86</v>
      </c>
      <c r="C29" s="2" t="str">
        <f>D29&amp;" " &amp;$E$27&amp;" "&amp;E29&amp;" " &amp;$F$27&amp;" "&amp;F29&amp;" "  &amp;$H$27&amp;" "&amp;H29&amp;" " &amp;$I$27&amp;" "&amp;I29&amp;" " &amp;IF(L29="","",$L$27&amp;" '"&amp;L29&amp;"' ")</f>
        <v xml:space="preserve">iba\app\ps\Escalation.ps1 -action AnswerRun -RunId RUN-20260829_063456_930-CONFIGMAINT -Decision Approve -AnsweredBy Researcher </v>
      </c>
      <c r="D29" s="1" t="s">
        <v>32</v>
      </c>
      <c r="E29" s="2" t="s">
        <v>86</v>
      </c>
      <c r="F29" s="2" t="s">
        <v>87</v>
      </c>
      <c r="G29" s="2"/>
      <c r="H29" s="2" t="s">
        <v>88</v>
      </c>
      <c r="I29" s="2" t="s">
        <v>36</v>
      </c>
      <c r="J29" s="2"/>
      <c r="L29" s="2"/>
      <c r="M29" s="2"/>
      <c r="N29" s="2"/>
    </row>
    <row r="30" spans="1:15" ht="30" x14ac:dyDescent="0.25">
      <c r="B30" s="2" t="s">
        <v>89</v>
      </c>
      <c r="C30" t="str">
        <f>D30&amp;" " &amp;$E$27&amp;" "&amp;E30&amp;" " &amp;$G$27&amp;" "&amp;G30&amp;" "  &amp;$I$27&amp;" "&amp;I30&amp;" " &amp;$J$27&amp;" '"&amp;J30&amp;"' "</f>
        <v xml:space="preserve">iba\app\ps\Escalation.ps1 -action ResolveSelfCorrectable -Id 1300 -AnsweredBy Claude -Resolution 'usage error, not a code defect -- retried immediately with the missing flag included' </v>
      </c>
      <c r="D30" s="2" t="s">
        <v>32</v>
      </c>
      <c r="E30" s="2" t="s">
        <v>89</v>
      </c>
      <c r="G30" s="2">
        <v>1300</v>
      </c>
      <c r="I30" s="2" t="s">
        <v>49</v>
      </c>
      <c r="J30" t="s">
        <v>90</v>
      </c>
    </row>
    <row r="31" spans="1:15" ht="30" x14ac:dyDescent="0.25">
      <c r="B31" s="2" t="s">
        <v>91</v>
      </c>
      <c r="C31" t="str">
        <f>D31&amp;" " &amp;$E$27&amp;" "&amp;E31&amp;" " &amp;$G$27&amp;" "&amp;G31&amp;" "  &amp;$I$27&amp;" "&amp;I31&amp;" " &amp;$K$27&amp;" '"&amp;K31&amp;"' "</f>
        <v xml:space="preserve">iba\app\ps\Escalation.ps1 -action EscalateToDecision -Id 812 -AnsweredBy Claude -Tried 'widened the retry window, but the limit is a design choice' </v>
      </c>
      <c r="D31" s="2" t="s">
        <v>32</v>
      </c>
      <c r="E31" s="2" t="s">
        <v>91</v>
      </c>
      <c r="G31" s="2">
        <v>812</v>
      </c>
      <c r="I31" s="2" t="s">
        <v>49</v>
      </c>
      <c r="K31" t="s">
        <v>92</v>
      </c>
    </row>
    <row r="32" spans="1:15" ht="18.75" customHeight="1" x14ac:dyDescent="0.3">
      <c r="A32" s="15" t="s">
        <v>93</v>
      </c>
    </row>
    <row r="33" spans="2:15" ht="45" customHeight="1" x14ac:dyDescent="0.25">
      <c r="B33" s="2" t="s">
        <v>3</v>
      </c>
      <c r="C33" s="2" t="s">
        <v>4</v>
      </c>
      <c r="D33" s="2" t="s">
        <v>5</v>
      </c>
      <c r="E33" s="2" t="s">
        <v>6</v>
      </c>
      <c r="F33" s="2" t="s">
        <v>7</v>
      </c>
      <c r="G33" s="2" t="s">
        <v>18</v>
      </c>
      <c r="H33" s="9" t="s">
        <v>76</v>
      </c>
      <c r="I33" s="9" t="s">
        <v>11</v>
      </c>
      <c r="J33" s="2" t="s">
        <v>12</v>
      </c>
      <c r="K33" s="2" t="s">
        <v>13</v>
      </c>
      <c r="L33" s="9" t="s">
        <v>16</v>
      </c>
      <c r="M33" s="2" t="s">
        <v>20</v>
      </c>
      <c r="N33" s="2" t="s">
        <v>15</v>
      </c>
      <c r="O33" s="2" t="s">
        <v>14</v>
      </c>
    </row>
    <row r="34" spans="2:15" ht="90" x14ac:dyDescent="0.25">
      <c r="F34" s="3" t="s">
        <v>94</v>
      </c>
      <c r="G34" s="3" t="s">
        <v>95</v>
      </c>
      <c r="H34" s="3" t="s">
        <v>81</v>
      </c>
      <c r="I34" s="3" t="s">
        <v>96</v>
      </c>
      <c r="L34" s="3" t="s">
        <v>97</v>
      </c>
      <c r="M34" s="3" t="s">
        <v>98</v>
      </c>
      <c r="O34" s="3" t="s">
        <v>99</v>
      </c>
    </row>
    <row r="35" spans="2:15" ht="75" x14ac:dyDescent="0.25">
      <c r="B35" s="2" t="s">
        <v>93</v>
      </c>
      <c r="C35" s="1" t="str">
        <f>D35&amp;" " &amp;$E$33&amp;" "&amp;E35&amp;" " &amp;$F$33&amp;" "&amp;F35&amp;" "  &amp;$G$33&amp;" '"&amp;G35&amp;"' " &amp;$H$33&amp;" "&amp;H35&amp;" " &amp;$O$33&amp;" '"&amp;O35&amp;"' "</f>
        <v xml:space="preserve">iba\app\ps\Escalation.ps1 -action correction -Id 741 -ShortDescription '' -AnsweredBy Researcher -Comment 'original title had a typo' </v>
      </c>
      <c r="D35" s="2" t="s">
        <v>32</v>
      </c>
      <c r="E35" s="2" t="s">
        <v>100</v>
      </c>
      <c r="F35" s="2">
        <v>741</v>
      </c>
      <c r="G35" s="2"/>
      <c r="H35" s="2" t="s">
        <v>36</v>
      </c>
      <c r="J35" s="1" t="s">
        <v>49</v>
      </c>
      <c r="O35" s="2" t="s">
        <v>101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5:D68"/>
  <sheetViews>
    <sheetView workbookViewId="0">
      <selection activeCell="D5" sqref="D5:D10"/>
    </sheetView>
  </sheetViews>
  <sheetFormatPr defaultRowHeight="15" x14ac:dyDescent="0.25"/>
  <cols>
    <col min="1" max="1" width="26.5703125" customWidth="1"/>
  </cols>
  <sheetData>
    <row r="5" spans="1:4" x14ac:dyDescent="0.25">
      <c r="A5" t="s">
        <v>0</v>
      </c>
      <c r="B5" s="12" t="s">
        <v>107</v>
      </c>
      <c r="C5">
        <v>1331</v>
      </c>
      <c r="D5" t="str">
        <f t="shared" ref="D5:D10" si="0">A5&amp;C5&amp;B5</f>
        <v xml:space="preserve">iba\app\ps\Escalation.ps1 -action update -Id 1331 -ResolutionKind DecisionRequired -NextAction approved -AssignedTo Claude   -Comment ' processed configs' </v>
      </c>
    </row>
    <row r="6" spans="1:4" x14ac:dyDescent="0.25">
      <c r="A6" t="s">
        <v>0</v>
      </c>
      <c r="B6" s="12" t="s">
        <v>107</v>
      </c>
      <c r="C6">
        <v>1332</v>
      </c>
      <c r="D6" t="str">
        <f t="shared" si="0"/>
        <v xml:space="preserve">iba\app\ps\Escalation.ps1 -action update -Id 1332 -ResolutionKind DecisionRequired -NextAction approved -AssignedTo Claude   -Comment ' processed configs' </v>
      </c>
    </row>
    <row r="7" spans="1:4" x14ac:dyDescent="0.25">
      <c r="A7" t="s">
        <v>0</v>
      </c>
      <c r="B7" s="12" t="s">
        <v>107</v>
      </c>
      <c r="C7">
        <v>1333</v>
      </c>
      <c r="D7" t="str">
        <f t="shared" si="0"/>
        <v xml:space="preserve">iba\app\ps\Escalation.ps1 -action update -Id 1333 -ResolutionKind DecisionRequired -NextAction approved -AssignedTo Claude   -Comment ' processed configs' </v>
      </c>
    </row>
    <row r="8" spans="1:4" x14ac:dyDescent="0.25">
      <c r="A8" t="s">
        <v>0</v>
      </c>
      <c r="B8" s="12" t="s">
        <v>107</v>
      </c>
      <c r="C8">
        <v>1334</v>
      </c>
      <c r="D8" t="str">
        <f t="shared" si="0"/>
        <v xml:space="preserve">iba\app\ps\Escalation.ps1 -action update -Id 1334 -ResolutionKind DecisionRequired -NextAction approved -AssignedTo Claude   -Comment ' processed configs' </v>
      </c>
    </row>
    <row r="9" spans="1:4" x14ac:dyDescent="0.25">
      <c r="A9" t="s">
        <v>0</v>
      </c>
      <c r="B9" s="12" t="s">
        <v>107</v>
      </c>
      <c r="C9">
        <v>1335</v>
      </c>
      <c r="D9" t="str">
        <f t="shared" si="0"/>
        <v xml:space="preserve">iba\app\ps\Escalation.ps1 -action update -Id 1335 -ResolutionKind DecisionRequired -NextAction approved -AssignedTo Claude   -Comment ' processed configs' </v>
      </c>
    </row>
    <row r="10" spans="1:4" x14ac:dyDescent="0.25">
      <c r="A10" t="s">
        <v>0</v>
      </c>
      <c r="B10" s="12" t="s">
        <v>107</v>
      </c>
      <c r="C10">
        <v>1337</v>
      </c>
      <c r="D10" t="str">
        <f t="shared" si="0"/>
        <v xml:space="preserve">iba\app\ps\Escalation.ps1 -action update -Id 1337 -ResolutionKind DecisionRequired -NextAction approved -AssignedTo Claude   -Comment ' processed configs' </v>
      </c>
    </row>
    <row r="11" spans="1:4" x14ac:dyDescent="0.25">
      <c r="B11" s="12"/>
    </row>
    <row r="12" spans="1:4" x14ac:dyDescent="0.25">
      <c r="B12" s="12"/>
    </row>
    <row r="13" spans="1:4" x14ac:dyDescent="0.25">
      <c r="B13" s="12"/>
    </row>
    <row r="14" spans="1:4" x14ac:dyDescent="0.25">
      <c r="B14" s="12"/>
    </row>
    <row r="15" spans="1:4" x14ac:dyDescent="0.25">
      <c r="B15" s="12"/>
    </row>
    <row r="16" spans="1:4" x14ac:dyDescent="0.25">
      <c r="B16" s="12"/>
    </row>
    <row r="17" spans="2:2" x14ac:dyDescent="0.25">
      <c r="B17" s="12"/>
    </row>
    <row r="18" spans="2:2" x14ac:dyDescent="0.25">
      <c r="B18" s="12"/>
    </row>
    <row r="19" spans="2:2" x14ac:dyDescent="0.25">
      <c r="B19" s="12"/>
    </row>
    <row r="20" spans="2:2" x14ac:dyDescent="0.25">
      <c r="B20" s="12"/>
    </row>
    <row r="21" spans="2:2" x14ac:dyDescent="0.25">
      <c r="B21" s="12"/>
    </row>
    <row r="22" spans="2:2" x14ac:dyDescent="0.25">
      <c r="B22" s="12"/>
    </row>
    <row r="23" spans="2:2" x14ac:dyDescent="0.25">
      <c r="B23" s="12"/>
    </row>
    <row r="24" spans="2:2" x14ac:dyDescent="0.25">
      <c r="B24" s="12"/>
    </row>
    <row r="25" spans="2:2" x14ac:dyDescent="0.25">
      <c r="B25" s="12"/>
    </row>
    <row r="26" spans="2:2" x14ac:dyDescent="0.25">
      <c r="B26" s="12"/>
    </row>
    <row r="27" spans="2:2" x14ac:dyDescent="0.25">
      <c r="B27" s="12"/>
    </row>
    <row r="28" spans="2:2" x14ac:dyDescent="0.25">
      <c r="B28" s="12"/>
    </row>
    <row r="29" spans="2:2" x14ac:dyDescent="0.25">
      <c r="B29" s="12"/>
    </row>
    <row r="30" spans="2:2" x14ac:dyDescent="0.25">
      <c r="B30" s="12"/>
    </row>
    <row r="31" spans="2:2" x14ac:dyDescent="0.25">
      <c r="B31" s="12"/>
    </row>
    <row r="32" spans="2:2" x14ac:dyDescent="0.25">
      <c r="B32" s="12"/>
    </row>
    <row r="33" spans="2:2" x14ac:dyDescent="0.25">
      <c r="B33" s="12"/>
    </row>
    <row r="34" spans="2:2" x14ac:dyDescent="0.25">
      <c r="B34" s="12"/>
    </row>
    <row r="35" spans="2:2" x14ac:dyDescent="0.25">
      <c r="B35" s="12"/>
    </row>
    <row r="36" spans="2:2" x14ac:dyDescent="0.25">
      <c r="B36" s="12"/>
    </row>
    <row r="37" spans="2:2" x14ac:dyDescent="0.25">
      <c r="B37" s="12"/>
    </row>
    <row r="38" spans="2:2" x14ac:dyDescent="0.25">
      <c r="B38" s="12"/>
    </row>
    <row r="39" spans="2:2" x14ac:dyDescent="0.25">
      <c r="B39" s="12"/>
    </row>
    <row r="40" spans="2:2" x14ac:dyDescent="0.25">
      <c r="B40" s="12"/>
    </row>
    <row r="41" spans="2:2" x14ac:dyDescent="0.25">
      <c r="B41" s="12"/>
    </row>
    <row r="42" spans="2:2" x14ac:dyDescent="0.25">
      <c r="B42" s="12"/>
    </row>
    <row r="43" spans="2:2" x14ac:dyDescent="0.25">
      <c r="B43" s="12"/>
    </row>
    <row r="44" spans="2:2" x14ac:dyDescent="0.25">
      <c r="B44" s="12"/>
    </row>
    <row r="45" spans="2:2" x14ac:dyDescent="0.25">
      <c r="B45" s="12"/>
    </row>
    <row r="46" spans="2:2" x14ac:dyDescent="0.25">
      <c r="B46" s="12"/>
    </row>
    <row r="47" spans="2:2" x14ac:dyDescent="0.25">
      <c r="B47" s="12"/>
    </row>
    <row r="48" spans="2:2" x14ac:dyDescent="0.25">
      <c r="B48" s="12"/>
    </row>
    <row r="49" spans="2:2" x14ac:dyDescent="0.25">
      <c r="B49" s="12"/>
    </row>
    <row r="50" spans="2:2" x14ac:dyDescent="0.25">
      <c r="B50" s="12"/>
    </row>
    <row r="51" spans="2:2" x14ac:dyDescent="0.25">
      <c r="B51" s="12"/>
    </row>
    <row r="52" spans="2:2" x14ac:dyDescent="0.25">
      <c r="B52" s="12"/>
    </row>
    <row r="53" spans="2:2" x14ac:dyDescent="0.25">
      <c r="B53" s="12"/>
    </row>
    <row r="54" spans="2:2" x14ac:dyDescent="0.25">
      <c r="B54" s="12"/>
    </row>
    <row r="55" spans="2:2" x14ac:dyDescent="0.25">
      <c r="B55" s="12"/>
    </row>
    <row r="56" spans="2:2" x14ac:dyDescent="0.25">
      <c r="B56" s="12"/>
    </row>
    <row r="57" spans="2:2" x14ac:dyDescent="0.25">
      <c r="B57" s="12"/>
    </row>
    <row r="58" spans="2:2" x14ac:dyDescent="0.25">
      <c r="B58" s="12"/>
    </row>
    <row r="59" spans="2:2" x14ac:dyDescent="0.25">
      <c r="B59" s="12"/>
    </row>
    <row r="60" spans="2:2" x14ac:dyDescent="0.25">
      <c r="B60" s="12"/>
    </row>
    <row r="61" spans="2:2" x14ac:dyDescent="0.25">
      <c r="B61" s="12"/>
    </row>
    <row r="62" spans="2:2" x14ac:dyDescent="0.25">
      <c r="B62" s="12"/>
    </row>
    <row r="63" spans="2:2" x14ac:dyDescent="0.25">
      <c r="B63" s="12"/>
    </row>
    <row r="64" spans="2:2" x14ac:dyDescent="0.25">
      <c r="B64" s="12"/>
    </row>
    <row r="65" spans="2:2" x14ac:dyDescent="0.25">
      <c r="B65" s="12"/>
    </row>
    <row r="66" spans="2:2" x14ac:dyDescent="0.25">
      <c r="B66" s="12"/>
    </row>
    <row r="67" spans="2:2" x14ac:dyDescent="0.25">
      <c r="B67" s="12"/>
    </row>
    <row r="68" spans="2:2" x14ac:dyDescent="0.25">
      <c r="B68" s="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Escalations</vt:lpstr>
      <vt:lpstr>bulk update preparation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LeRoux Cilliers</cp:lastModifiedBy>
  <dcterms:created xsi:type="dcterms:W3CDTF">2026-08-29T05:50:12Z</dcterms:created>
  <dcterms:modified xsi:type="dcterms:W3CDTF">2026-08-31T13:24:54Z</dcterms:modified>
</cp:coreProperties>
</file>