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Escalations" sheetId="1" state="visible" r:id="rId1"/>
    <sheet xmlns:r="http://schemas.openxmlformats.org/officeDocument/2006/relationships" name="bulk update prepar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onsolas"/>
      <family val="2"/>
      <color rgb="FF333333"/>
      <sz val="11"/>
    </font>
    <font>
      <name val="Consolas"/>
      <family val="2"/>
      <color rgb="FF00008B"/>
      <sz val="11"/>
    </font>
    <font>
      <name val="Consolas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6" fillId="0" borderId="1"/>
    <xf numFmtId="43" fontId="6" fillId="0" borderId="1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 wrapText="1"/>
    </xf>
    <xf numFmtId="0" fontId="2" fillId="2" borderId="2" applyAlignment="1" pivotButton="0" quotePrefix="0" xfId="0">
      <alignment horizontal="left" wrapText="1"/>
    </xf>
    <xf numFmtId="0" fontId="2" fillId="2" borderId="2" applyAlignment="1" pivotButton="0" quotePrefix="0" xfId="0">
      <alignment horizontal="left"/>
    </xf>
    <xf numFmtId="0" fontId="1" fillId="0" borderId="1" applyAlignment="1" pivotButton="0" quotePrefix="1" xfId="0">
      <alignment horizontal="left" wrapText="1"/>
    </xf>
    <xf numFmtId="0" fontId="1" fillId="0" borderId="0" applyAlignment="1" pivotButton="0" quotePrefix="0" xfId="0">
      <alignment horizontal="left" wrapText="1"/>
    </xf>
    <xf numFmtId="0" fontId="3" fillId="0" borderId="0" pivotButton="0" quotePrefix="0" xfId="0"/>
    <xf numFmtId="0" fontId="0" fillId="0" borderId="0" pivotButton="0" quotePrefix="1" xfId="0"/>
    <xf numFmtId="0" fontId="2" fillId="2" borderId="2" applyAlignment="1" pivotButton="0" quotePrefix="0" xfId="1">
      <alignment horizontal="right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 wrapText="1"/>
    </xf>
    <xf numFmtId="0" fontId="2" fillId="2" borderId="2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53"/>
  <sheetViews>
    <sheetView tabSelected="1" topLeftCell="B13" workbookViewId="0">
      <selection activeCell="C14" sqref="C14"/>
    </sheetView>
  </sheetViews>
  <sheetFormatPr baseColWidth="8" defaultRowHeight="15"/>
  <cols>
    <col width="18" bestFit="1" customWidth="1" style="1" min="1" max="2"/>
    <col width="31.85546875" bestFit="1" customWidth="1" style="1" min="3" max="3"/>
    <col width="14.5703125" bestFit="1" customWidth="1" style="1" min="4" max="4"/>
    <col width="13.140625" bestFit="1" customWidth="1" style="1" min="5" max="5"/>
    <col width="13.5703125" bestFit="1" customWidth="1" min="6" max="6"/>
    <col width="17.7109375" bestFit="1" customWidth="1" style="1" min="7" max="7"/>
    <col width="15.42578125" bestFit="1" customWidth="1" style="1" min="8" max="8"/>
    <col width="13.5703125" bestFit="1" customWidth="1" style="1" min="9" max="9"/>
    <col width="14.7109375" bestFit="1" customWidth="1" style="1" min="10" max="10"/>
    <col width="13" bestFit="1" customWidth="1" style="1" min="11" max="12"/>
    <col width="24.42578125" bestFit="1" customWidth="1" style="1" min="13" max="13"/>
    <col width="22" bestFit="1" customWidth="1" style="1" min="14" max="14"/>
    <col width="13.5703125" bestFit="1" customWidth="1" min="15" max="15"/>
    <col width="13.5703125" customWidth="1" min="16" max="19"/>
  </cols>
  <sheetData>
    <row r="1" ht="18.75" customHeight="1">
      <c r="A1" s="15" t="inlineStr">
        <is>
          <t>Escalation tool</t>
        </is>
      </c>
      <c r="C1" s="2" t="n"/>
      <c r="E1" s="2" t="n"/>
      <c r="F1" s="16" t="n"/>
      <c r="G1" s="2" t="n"/>
      <c r="H1" s="2" t="n"/>
      <c r="I1" s="2" t="n"/>
      <c r="J1" s="2" t="n"/>
      <c r="L1" s="2" t="n"/>
      <c r="M1" s="2" t="n"/>
      <c r="N1" s="2" t="n"/>
    </row>
    <row r="2" ht="18.75" customHeight="1">
      <c r="C2" s="2" t="n"/>
      <c r="E2" s="2" t="n"/>
      <c r="F2" s="16" t="n"/>
      <c r="G2" s="2" t="n"/>
      <c r="H2" s="2" t="n"/>
      <c r="I2" s="2" t="n"/>
      <c r="J2" s="2" t="n"/>
      <c r="L2" s="2" t="n"/>
      <c r="M2" s="2" t="n"/>
      <c r="N2" s="2" t="n"/>
    </row>
    <row r="3" ht="31.5" customHeight="1">
      <c r="A3" s="15" t="inlineStr">
        <is>
          <t>Decision-tied-Manual</t>
        </is>
      </c>
      <c r="C3" s="2" t="n"/>
      <c r="E3" s="2" t="n"/>
      <c r="F3" s="16" t="n"/>
      <c r="G3" s="2" t="n"/>
      <c r="H3" s="2" t="n"/>
      <c r="I3" s="2" t="n"/>
      <c r="J3" s="2" t="n"/>
      <c r="L3" s="2" t="n"/>
      <c r="M3" s="2" t="n"/>
      <c r="N3" s="2" t="n"/>
    </row>
    <row r="4" ht="19.5" customFormat="1" customHeight="1" s="1">
      <c r="A4" s="2" t="n"/>
      <c r="B4" s="2" t="inlineStr">
        <is>
          <t>Type</t>
        </is>
      </c>
      <c r="C4" s="3" t="inlineStr">
        <is>
          <t>PS instruction</t>
        </is>
      </c>
      <c r="D4" s="2" t="inlineStr">
        <is>
          <t>script</t>
        </is>
      </c>
      <c r="E4" s="2" t="inlineStr">
        <is>
          <t>-action</t>
        </is>
      </c>
      <c r="F4" s="2" t="inlineStr">
        <is>
          <t>-Id</t>
        </is>
      </c>
      <c r="G4" s="3" t="inlineStr">
        <is>
          <t>-Question</t>
        </is>
      </c>
      <c r="H4" s="2" t="inlineStr">
        <is>
          <t>-ResolutionKind</t>
        </is>
      </c>
      <c r="I4" s="2" t="inlineStr">
        <is>
          <t>-Type</t>
        </is>
      </c>
      <c r="J4" s="2" t="inlineStr">
        <is>
          <t>-NextAction</t>
        </is>
      </c>
      <c r="K4" s="2" t="inlineStr">
        <is>
          <t>-AssignedTo</t>
        </is>
      </c>
      <c r="L4" s="2" t="inlineStr">
        <is>
          <t>-State</t>
        </is>
      </c>
      <c r="M4" s="3" t="inlineStr">
        <is>
          <t>-Comment</t>
        </is>
      </c>
      <c r="N4" s="3" t="inlineStr">
        <is>
          <t>-Context</t>
        </is>
      </c>
      <c r="O4" s="2" t="inlineStr">
        <is>
          <t>-Resolution</t>
        </is>
      </c>
      <c r="P4" s="10" t="inlineStr">
        <is>
          <t>-NeedsFollowup</t>
        </is>
      </c>
      <c r="Q4" s="10" t="inlineStr">
        <is>
          <t>-ShortDescription</t>
        </is>
      </c>
      <c r="R4" s="10" t="inlineStr">
        <is>
          <t>-Source</t>
        </is>
      </c>
      <c r="S4" s="10" t="inlineStr">
        <is>
          <t>-Tried</t>
        </is>
      </c>
    </row>
    <row r="5" ht="87" customFormat="1" customHeight="1" s="1">
      <c r="A5" s="2" t="n"/>
      <c r="B5" s="2" t="n"/>
      <c r="C5" s="2" t="n"/>
      <c r="D5" s="2" t="n"/>
      <c r="E5" s="2" t="n"/>
      <c r="F5" s="17" t="n"/>
      <c r="G5" s="3" t="inlineStr">
        <is>
          <t>(60 chars)</t>
        </is>
      </c>
      <c r="H5" s="4" t="inlineStr">
        <is>
          <t>DecisionRequired|SelfCorrectable</t>
        </is>
      </c>
      <c r="I5" s="3" t="inlineStr">
        <is>
          <t>Task|Issue|Note</t>
        </is>
      </c>
      <c r="J5" s="5" t="inlineStr">
        <is>
          <t>ready_for_approval|approved|reject|revise|noted|review|hold</t>
        </is>
      </c>
      <c r="K5" s="2" t="n"/>
      <c r="L5" s="6" t="inlineStr">
        <is>
          <t>auto-derived for approved|noted|revise -- ignored if given, leave blank. REQUIRED (withdraw|supersede) for reject only.</t>
        </is>
      </c>
      <c r="M5" s="2" t="n"/>
      <c r="N5" s="2" t="n"/>
      <c r="O5" s="2" t="n"/>
      <c r="P5" s="11" t="inlineStr">
        <is>
          <t>1|0 (optional -- escalation #1075)</t>
        </is>
      </c>
      <c r="Q5" s="11" t="inlineStr">
        <is>
          <t>Correction only -- set by Claude, error-correction of a bad title</t>
        </is>
      </c>
      <c r="R5" s="11" t="inlineStr">
        <is>
          <t>Raise only -- set by code/Claude (claude|researcher)</t>
        </is>
      </c>
      <c r="S5" s="11" t="inlineStr">
        <is>
          <t>Update/Correction/EscalateToDecision -- set by Claude</t>
        </is>
      </c>
    </row>
    <row r="6" ht="100.5" customFormat="1" customHeight="1" s="1">
      <c r="A6" s="2" t="inlineStr">
        <is>
          <t>Raise</t>
        </is>
      </c>
      <c r="B6" s="2" t="inlineStr">
        <is>
          <t>Issue</t>
        </is>
      </c>
      <c r="C6" s="3">
        <f>D6&amp;" " &amp;$E$4&amp;" "&amp;E6&amp;" "  &amp;$G$4&amp;" '"&amp;G6&amp;"' "&amp;$H$4&amp;" "&amp;H6&amp;" " &amp;$I$4&amp;" "&amp;I6&amp; " " &amp;$K$4 &amp; " " &amp;K6 &amp; " " &amp;$M$4&amp;" '" &amp; M6 &amp; "' " &amp;$N$4&amp;" '" &amp; N6 &amp;"' "</f>
        <v/>
      </c>
      <c r="D6" s="2" t="inlineStr">
        <is>
          <t>iba\app\ps\Escalation.ps1</t>
        </is>
      </c>
      <c r="E6" s="2" t="inlineStr">
        <is>
          <t>raise</t>
        </is>
      </c>
      <c r="F6" s="17" t="n"/>
      <c r="G6" s="7" t="inlineStr">
        <is>
          <t>Schema overview report</t>
        </is>
      </c>
      <c r="H6" s="2" t="inlineStr">
        <is>
          <t>DecisionRequired</t>
        </is>
      </c>
      <c r="I6" s="2" t="inlineStr">
        <is>
          <t>issue</t>
        </is>
      </c>
      <c r="J6" s="2" t="n"/>
      <c r="K6" s="2" t="inlineStr">
        <is>
          <t>Researcher</t>
        </is>
      </c>
      <c r="L6" s="2" t="n"/>
      <c r="M6" s="7" t="inlineStr">
        <is>
          <t>There is no schema overview report for Bible_research_DB</t>
        </is>
      </c>
      <c r="N6" s="7" t="n"/>
      <c r="O6" s="2" t="n"/>
    </row>
    <row r="7" ht="154.5" customFormat="1" customHeight="1" s="1">
      <c r="A7" s="2" t="n"/>
      <c r="B7" s="2" t="inlineStr">
        <is>
          <t>Task</t>
        </is>
      </c>
      <c r="C7" s="3">
        <f>D7&amp;" " &amp;$E$4&amp;" "&amp;E7&amp;" "  &amp;$G$4&amp;" ' "&amp;G7&amp;" ' "&amp;$H$4&amp;" "&amp;H7&amp;" " &amp;$I$4&amp;" "&amp;I7&amp; " " &amp;$K$4 &amp; " " &amp;K7 &amp; " " &amp;$M$4&amp;" ' " &amp; M7 &amp; " ' " &amp;$N$4&amp;" ' " &amp; N7 &amp;" ' "</f>
        <v/>
      </c>
      <c r="D7" s="2" t="inlineStr">
        <is>
          <t>iba\app\ps\Escalation.ps1</t>
        </is>
      </c>
      <c r="E7" s="2" t="inlineStr">
        <is>
          <t>raise</t>
        </is>
      </c>
      <c r="F7" s="17" t="n"/>
      <c r="G7" s="7" t="inlineStr">
        <is>
          <t>config table purpose</t>
        </is>
      </c>
      <c r="H7" s="2" t="inlineStr">
        <is>
          <t>DecisionRequired</t>
        </is>
      </c>
      <c r="I7" s="2" t="inlineStr">
        <is>
          <t>task</t>
        </is>
      </c>
      <c r="J7" s="2" t="n"/>
      <c r="K7" s="2" t="inlineStr">
        <is>
          <t>Researcher</t>
        </is>
      </c>
      <c r="L7" s="2" t="n"/>
      <c r="M7" s="7" t="inlineStr">
        <is>
          <t>Add two additional config entries for each cfg table: a)a) purpose - the purpose of this table is to …....why does it exist, what does it do, the scope it covers b) success - what must this table have to be successful</t>
        </is>
      </c>
      <c r="N7" s="7" t="n"/>
      <c r="O7" s="2" t="n"/>
    </row>
    <row r="8" ht="87" customFormat="1" customHeight="1" s="1">
      <c r="A8" s="2" t="n"/>
      <c r="B8" s="2" t="inlineStr">
        <is>
          <t>Notice</t>
        </is>
      </c>
      <c r="C8" s="3">
        <f>D8&amp;" " &amp;$E$4&amp;" "&amp;E8&amp;" "  &amp;$G$4&amp;" '"&amp;G8&amp;"' "&amp;$H$4&amp;" "&amp;H8&amp;" " &amp;$I$4&amp;" "&amp;I8&amp; " " &amp;$K$4 &amp; " " &amp;K8 &amp; " " &amp;$M$4&amp;" '" &amp; M8 &amp; "' " &amp;$N$4&amp;" '" &amp; N8 &amp;"' "</f>
        <v/>
      </c>
      <c r="D8" s="2" t="inlineStr">
        <is>
          <t>iba\app\ps\Escalation.ps1</t>
        </is>
      </c>
      <c r="E8" s="2" t="inlineStr">
        <is>
          <t>raise</t>
        </is>
      </c>
      <c r="F8" s="17" t="n"/>
      <c r="G8" s="7" t="inlineStr">
        <is>
          <t>title</t>
        </is>
      </c>
      <c r="H8" s="2" t="inlineStr">
        <is>
          <t>DecisionRequired</t>
        </is>
      </c>
      <c r="I8" s="2" t="inlineStr">
        <is>
          <t>notice</t>
        </is>
      </c>
      <c r="J8" s="2" t="n"/>
      <c r="K8" s="2" t="inlineStr">
        <is>
          <t>Researcher</t>
        </is>
      </c>
      <c r="L8" s="2" t="n"/>
      <c r="M8" s="7" t="inlineStr">
        <is>
          <t>assigment</t>
        </is>
      </c>
      <c r="N8" s="7" t="inlineStr">
        <is>
          <t>more info</t>
        </is>
      </c>
      <c r="O8" s="2" t="n"/>
    </row>
    <row r="9" ht="18.75" customHeight="1">
      <c r="C9" s="2" t="n"/>
      <c r="E9" s="2" t="n"/>
      <c r="F9" s="16" t="n"/>
      <c r="G9" s="2" t="n"/>
      <c r="H9" s="2" t="n"/>
      <c r="I9" s="2" t="n"/>
      <c r="J9" s="2" t="n"/>
      <c r="L9" s="2" t="n"/>
      <c r="M9" s="2" t="n"/>
      <c r="N9" s="2" t="n"/>
    </row>
    <row r="10" ht="18.75" customHeight="1">
      <c r="C10" s="2" t="n"/>
      <c r="E10" s="2" t="n"/>
      <c r="F10" s="16" t="n"/>
      <c r="G10" s="2" t="n"/>
      <c r="H10" s="2" t="n"/>
      <c r="I10" s="2" t="n"/>
      <c r="J10" s="2" t="n"/>
      <c r="L10" s="2" t="n"/>
      <c r="M10" s="2" t="n"/>
      <c r="N10" s="2" t="n"/>
    </row>
    <row r="11" ht="82.5" customHeight="1">
      <c r="A11" s="1" t="inlineStr">
        <is>
          <t>Update</t>
        </is>
      </c>
      <c r="B11" s="1" t="inlineStr">
        <is>
          <t>review</t>
        </is>
      </c>
      <c r="C11" s="3">
        <f>D11&amp;" " &amp;$E$4&amp;" "&amp;E11&amp;" " &amp;$F$4&amp;" "&amp;F11&amp;" "  &amp;$H$4&amp;" "&amp;H11&amp;" " &amp;$J$4&amp;" "&amp;J11&amp; " " &amp;$K$4 &amp; " " &amp;K11 &amp; " " &amp;$L$4 &amp; " " &amp;L11 &amp; " " &amp;$M$4&amp;" ' " &amp; M11 &amp; " ' " &amp;$N$4&amp;" ' " &amp; N11 &amp;" ' "</f>
        <v/>
      </c>
      <c r="D11" s="1" t="inlineStr">
        <is>
          <t>iba\app\ps\Escalation.ps1</t>
        </is>
      </c>
      <c r="E11" s="2" t="inlineStr">
        <is>
          <t>update</t>
        </is>
      </c>
      <c r="F11" s="18" t="n">
        <v>1320</v>
      </c>
      <c r="G11" s="2" t="n"/>
      <c r="H11" s="2" t="inlineStr">
        <is>
          <t>DecisionRequired</t>
        </is>
      </c>
      <c r="I11" s="2" t="n"/>
      <c r="J11" s="2" t="inlineStr">
        <is>
          <t>review</t>
        </is>
      </c>
      <c r="K11" s="1" t="inlineStr">
        <is>
          <t>Claude</t>
        </is>
      </c>
      <c r="L11" s="2" t="inlineStr">
        <is>
          <t>in-progress</t>
        </is>
      </c>
      <c r="M11" s="7" t="inlineStr">
        <is>
          <t>proceed</t>
        </is>
      </c>
      <c r="N11" s="7" t="n"/>
    </row>
    <row r="12" ht="82.5" customHeight="1">
      <c r="B12" s="1" t="inlineStr">
        <is>
          <t>revise</t>
        </is>
      </c>
      <c r="C12" s="3">
        <f>D12&amp;" " &amp;$E$4&amp;" "&amp;E12&amp;" " &amp;$F$4&amp;" "&amp;F12&amp;" "  &amp;$H$4&amp;" "&amp;H12&amp;" " &amp;$J$4&amp;" "&amp;J12&amp; " " &amp;$K$4 &amp; " " &amp;K12 &amp; " " &amp;$L$4 &amp; " " &amp;L12 &amp; " " &amp;$M$4&amp;" '" &amp; M12 &amp; "' " &amp;$N$4&amp;" '" &amp; N12 &amp;"' "</f>
        <v/>
      </c>
      <c r="D12" s="1" t="inlineStr">
        <is>
          <t>iba\app\ps\Escalation.ps1</t>
        </is>
      </c>
      <c r="E12" s="2" t="inlineStr">
        <is>
          <t>update</t>
        </is>
      </c>
      <c r="F12" s="18" t="n">
        <v>1327</v>
      </c>
      <c r="G12" s="2" t="n"/>
      <c r="H12" s="2" t="inlineStr">
        <is>
          <t>DecisionRequired</t>
        </is>
      </c>
      <c r="I12" s="2" t="n"/>
      <c r="J12" s="2" t="inlineStr">
        <is>
          <t>revise</t>
        </is>
      </c>
      <c r="K12" s="1" t="inlineStr">
        <is>
          <t>Claude</t>
        </is>
      </c>
      <c r="L12" s="2" t="inlineStr">
        <is>
          <t>in-progress</t>
        </is>
      </c>
      <c r="M12" s="7" t="inlineStr">
        <is>
          <t>Can you verify that this block is now removed. Done through the developer mode work.  If so, you can push this through to ready for approval and sign off</t>
        </is>
      </c>
      <c r="N12" s="7" t="n"/>
    </row>
    <row r="13" ht="108" customHeight="1">
      <c r="B13" s="1" t="inlineStr">
        <is>
          <t>ready for approval</t>
        </is>
      </c>
      <c r="C13" s="3">
        <f>D13&amp;" " &amp;$E$4&amp;" "&amp;E13&amp;" " &amp;$F$4&amp;" "&amp;F13&amp;" "  &amp;$H$4&amp;" "&amp;H13&amp;" " &amp;$J$4&amp;" "&amp;J13&amp; " " &amp;$K$4 &amp; " " &amp;K13 &amp; " "&amp;$L$4 &amp; " " &amp;L13 &amp; " " &amp;$M$4&amp;" '" &amp; M13 &amp; "' " &amp;$N$4&amp;" '" &amp; N13 &amp;"' " &amp;$O$4 &amp; " '"&amp; O13 &amp;"'"</f>
        <v/>
      </c>
      <c r="D13" s="1" t="inlineStr">
        <is>
          <t>iba\app\ps\Escalation.ps1</t>
        </is>
      </c>
      <c r="E13" s="2" t="inlineStr">
        <is>
          <t>update</t>
        </is>
      </c>
      <c r="F13" s="18" t="n">
        <v>921</v>
      </c>
      <c r="G13" s="2" t="n"/>
      <c r="H13" s="2" t="inlineStr">
        <is>
          <t>DecisionRequired</t>
        </is>
      </c>
      <c r="I13" s="2" t="n"/>
      <c r="J13" s="2" t="inlineStr">
        <is>
          <t>ready_for_approval</t>
        </is>
      </c>
      <c r="K13" s="1" t="inlineStr">
        <is>
          <t>Researcher</t>
        </is>
      </c>
      <c r="L13" s="2" t="inlineStr">
        <is>
          <t>in-progress</t>
        </is>
      </c>
      <c r="M13" s="7" t="inlineStr">
        <is>
          <t>Set to ready for approval</t>
        </is>
      </c>
      <c r="N13" s="7" t="n"/>
      <c r="O13" s="8" t="inlineStr">
        <is>
          <t>Resolution required</t>
        </is>
      </c>
    </row>
    <row r="14" ht="95.25" customHeight="1">
      <c r="B14" s="1" t="inlineStr">
        <is>
          <t>approval</t>
        </is>
      </c>
      <c r="C14" s="3">
        <f>D14&amp;" " &amp;$E$4&amp;" "&amp;E14&amp;" " &amp;$F$4&amp;" "&amp;F14&amp;" "  &amp;$H$4&amp;" "&amp;H14&amp;" " &amp;$J$4&amp;" "&amp;J14&amp; " " &amp;$K$4 &amp; " " &amp;K14 &amp; " " &amp;$M$4&amp;" ' " &amp; M14 &amp; " ' "</f>
        <v/>
      </c>
      <c r="D14" s="1" t="inlineStr">
        <is>
          <t>iba\app\ps\Escalation.ps1</t>
        </is>
      </c>
      <c r="E14" s="2" t="inlineStr">
        <is>
          <t>update</t>
        </is>
      </c>
      <c r="F14" s="13" t="n">
        <v>1327</v>
      </c>
      <c r="G14" s="2" t="n"/>
      <c r="H14" s="2" t="inlineStr">
        <is>
          <t>DecisionRequired</t>
        </is>
      </c>
      <c r="I14" s="2" t="n"/>
      <c r="J14" s="2" t="inlineStr">
        <is>
          <t>approved</t>
        </is>
      </c>
      <c r="K14" s="1" t="inlineStr">
        <is>
          <t>Claude</t>
        </is>
      </c>
      <c r="L14" s="2" t="n"/>
      <c r="M14" s="7" t="inlineStr">
        <is>
          <t>noted</t>
        </is>
      </c>
      <c r="N14" s="7" t="n"/>
    </row>
    <row r="15" ht="108" customHeight="1">
      <c r="B15" s="1" t="inlineStr">
        <is>
          <t>supercede</t>
        </is>
      </c>
      <c r="C15" s="3">
        <f>D15&amp;" " &amp;$E$4&amp;" "&amp;E15&amp;" " &amp;$F$4&amp;" "&amp;F15&amp;" "  &amp;$H$4&amp;" "&amp;H15&amp;" " &amp;$J$4&amp;" "&amp;J15&amp; " " &amp;$K$4 &amp; " " &amp;K15 &amp; " "&amp;$L$4 &amp; " " &amp;L15 &amp; " " &amp;$M$4&amp;" '" &amp; M15 &amp; "' " &amp;$N$4&amp;" '" &amp; N15 &amp;"' " &amp;$O$4 &amp; " '"&amp; O15 &amp;"'"</f>
        <v/>
      </c>
      <c r="D15" s="1" t="inlineStr">
        <is>
          <t>iba\app\ps\Escalation.ps1</t>
        </is>
      </c>
      <c r="E15" s="2" t="inlineStr">
        <is>
          <t>update</t>
        </is>
      </c>
      <c r="F15" s="18" t="n">
        <v>9</v>
      </c>
      <c r="G15" s="2" t="n"/>
      <c r="H15" s="2" t="n"/>
      <c r="I15" s="2" t="n"/>
      <c r="J15" s="2" t="inlineStr">
        <is>
          <t>reject</t>
        </is>
      </c>
      <c r="K15" s="1" t="inlineStr">
        <is>
          <t>Claude</t>
        </is>
      </c>
      <c r="L15" s="2" t="inlineStr">
        <is>
          <t>supersede</t>
        </is>
      </c>
      <c r="M15" s="7" t="inlineStr">
        <is>
          <t>substantial work has gone into governance, and I am not planning to do a another full sweep of governance</t>
        </is>
      </c>
      <c r="N15" s="7" t="n"/>
    </row>
    <row r="16" ht="82.5" customHeight="1">
      <c r="B16" s="1" t="inlineStr">
        <is>
          <t>reject</t>
        </is>
      </c>
      <c r="C16" s="3">
        <f>D16&amp;" " &amp;$E$4&amp;" "&amp;E16&amp;" " &amp;$F$4&amp;" "&amp;F16&amp;" "  &amp;$H$4&amp;" "&amp;H16&amp;" " &amp;$J$4&amp;" "&amp;J16&amp; " " &amp;$K$4 &amp; " " &amp;K16 &amp; " "&amp;$L$4 &amp; " " &amp;L16 &amp; " " &amp;$M$4&amp;" '" &amp; M16 &amp; "' " &amp;$N$4&amp;" '" &amp; N16 &amp;"' " &amp;$O$4 &amp; " '"&amp; O16 &amp;"'"</f>
        <v/>
      </c>
      <c r="D16" s="1" t="inlineStr">
        <is>
          <t>iba\app\ps\Escalation.ps1</t>
        </is>
      </c>
      <c r="E16" s="2" t="inlineStr">
        <is>
          <t>update</t>
        </is>
      </c>
      <c r="F16" s="18" t="n">
        <v>1343</v>
      </c>
      <c r="G16" s="2" t="n"/>
      <c r="H16" s="2" t="inlineStr">
        <is>
          <t>DecisionRequired</t>
        </is>
      </c>
      <c r="I16" s="2" t="n"/>
      <c r="J16" s="2" t="inlineStr">
        <is>
          <t>reject</t>
        </is>
      </c>
      <c r="K16" s="1" t="inlineStr">
        <is>
          <t>Claude</t>
        </is>
      </c>
      <c r="L16" s="2" t="inlineStr">
        <is>
          <t>withdraw</t>
        </is>
      </c>
      <c r="M16" s="7" t="inlineStr">
        <is>
          <t>not approved, to be redesigned</t>
        </is>
      </c>
      <c r="N16" s="7" t="n"/>
    </row>
    <row r="17" ht="82.5" customHeight="1">
      <c r="A17" s="1" t="inlineStr">
        <is>
          <t>do NOT set -NextAction for hold -- revise always forces in-progress, overriding -State</t>
        </is>
      </c>
      <c r="B17" s="1" t="inlineStr">
        <is>
          <t>hold</t>
        </is>
      </c>
      <c r="C17" s="3">
        <f>D17&amp;" " &amp;$E$4&amp;" "&amp;E17&amp;" " &amp;$F$4&amp;" "&amp;F17&amp;" "  &amp;IF(J17="","",$J$4&amp;" "&amp;J17&amp;" ") &amp;$K$4 &amp; " " &amp;K17 &amp; " "&amp;$L$4 &amp; " " &amp;L17 &amp; " " &amp;$M$4&amp;" '" &amp; M17 &amp; "' " &amp;$N$4&amp;" '" &amp; N17 &amp;"' " &amp;$O$4 &amp; " '"&amp; O17 &amp;"'"</f>
        <v/>
      </c>
      <c r="D17" s="1" t="inlineStr">
        <is>
          <t>iba\app\ps\Escalation.ps1</t>
        </is>
      </c>
      <c r="E17" s="2" t="inlineStr">
        <is>
          <t>update</t>
        </is>
      </c>
      <c r="F17" s="18" t="n">
        <v>1022</v>
      </c>
      <c r="G17" s="2" t="n"/>
      <c r="H17" s="2" t="n"/>
      <c r="I17" s="2" t="n"/>
      <c r="J17" s="2" t="n"/>
      <c r="K17" s="1" t="inlineStr">
        <is>
          <t>Researcher</t>
        </is>
      </c>
      <c r="L17" s="2" t="inlineStr">
        <is>
          <t>on-hold</t>
        </is>
      </c>
      <c r="M17" s="7" t="inlineStr">
        <is>
          <t>set to on hold</t>
        </is>
      </c>
      <c r="N17" s="7" t="n"/>
    </row>
    <row r="18" ht="18.75" customHeight="1">
      <c r="C18" s="2" t="n"/>
      <c r="E18" s="2" t="n"/>
      <c r="F18" s="16" t="n"/>
      <c r="G18" s="2" t="n"/>
      <c r="H18" s="2" t="n"/>
      <c r="I18" s="2" t="n"/>
      <c r="J18" s="2" t="n"/>
      <c r="L18" s="2" t="n"/>
      <c r="M18" s="2" t="n"/>
      <c r="N18" s="2" t="n"/>
    </row>
    <row r="19" ht="18.75" customHeight="1">
      <c r="A19" s="15" t="inlineStr">
        <is>
          <t>reports</t>
        </is>
      </c>
      <c r="C19" s="2" t="n"/>
      <c r="E19" s="2" t="n"/>
      <c r="F19" s="16" t="n"/>
      <c r="G19" s="2" t="n"/>
      <c r="H19" s="2" t="n"/>
      <c r="I19" s="2" t="n"/>
      <c r="J19" s="2" t="n"/>
      <c r="L19" s="2" t="n"/>
      <c r="M19" s="2" t="n"/>
      <c r="N19" s="2" t="n"/>
    </row>
    <row r="20" ht="18.75" customHeight="1">
      <c r="C20" s="2" t="n"/>
      <c r="E20" s="2" t="n"/>
      <c r="F20" s="16" t="n"/>
      <c r="G20" s="2" t="n"/>
      <c r="H20" s="2" t="n"/>
      <c r="I20" s="2" t="n"/>
      <c r="J20" s="2" t="n"/>
      <c r="L20" s="2" t="n"/>
      <c r="M20" s="2" t="n"/>
      <c r="N20" s="2" t="n"/>
    </row>
    <row r="21" ht="43.5" customHeight="1">
      <c r="A21" s="1" t="inlineStr">
        <is>
          <t>action history</t>
        </is>
      </c>
      <c r="C21" s="3">
        <f>D21&amp;" " &amp;$E$4&amp;" "&amp;E21&amp;" " &amp;$F$4 &amp; " " &amp;F21</f>
        <v/>
      </c>
      <c r="D21" s="1" t="inlineStr">
        <is>
          <t>iba\app\ps\Escalation.ps1</t>
        </is>
      </c>
      <c r="E21" s="2" t="inlineStr">
        <is>
          <t>History</t>
        </is>
      </c>
      <c r="F21" s="19" t="n">
        <v>851</v>
      </c>
      <c r="G21" s="2" t="n"/>
      <c r="H21" s="2" t="n"/>
      <c r="I21" s="2" t="n"/>
      <c r="J21" s="2" t="n"/>
      <c r="L21" s="2" t="n"/>
      <c r="M21" s="2" t="n"/>
      <c r="N21" s="2" t="n"/>
    </row>
    <row r="22" ht="18.75" customHeight="1">
      <c r="C22" s="2" t="n"/>
      <c r="E22" s="2" t="n"/>
      <c r="F22" s="16" t="n"/>
      <c r="G22" s="2" t="n"/>
      <c r="H22" s="2" t="n"/>
      <c r="I22" s="2" t="n"/>
      <c r="J22" s="2" t="n"/>
      <c r="L22" s="2" t="n"/>
      <c r="M22" s="2" t="n"/>
      <c r="N22" s="2" t="n"/>
    </row>
    <row r="23" ht="46.5" customFormat="1" customHeight="1" s="1">
      <c r="A23" s="2" t="inlineStr">
        <is>
          <t>list</t>
        </is>
      </c>
      <c r="B23" s="2" t="n"/>
      <c r="C23" s="3">
        <f>D23&amp;" " &amp;$E$4&amp;" "&amp;E23&amp;" "</f>
        <v/>
      </c>
      <c r="D23" s="2" t="inlineStr">
        <is>
          <t>iba\app\ps\Escalation.ps1</t>
        </is>
      </c>
      <c r="E23" s="2" t="inlineStr">
        <is>
          <t>List</t>
        </is>
      </c>
      <c r="F23" s="17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18.75" customHeight="1">
      <c r="C24" s="2" t="n"/>
      <c r="E24" s="2" t="n"/>
      <c r="F24" s="16" t="n"/>
      <c r="G24" s="2" t="n"/>
      <c r="H24" s="2" t="n"/>
      <c r="I24" s="2" t="n"/>
      <c r="J24" s="2" t="n"/>
      <c r="L24" s="2" t="n"/>
      <c r="M24" s="2" t="n"/>
      <c r="N24" s="2" t="n"/>
    </row>
    <row r="25" ht="18.75" customHeight="1">
      <c r="C25" s="2" t="n"/>
      <c r="E25" s="2" t="n"/>
      <c r="F25" s="16" t="n"/>
      <c r="G25" s="2" t="n"/>
      <c r="H25" s="2" t="n"/>
      <c r="I25" s="2" t="n"/>
      <c r="J25" s="2" t="n"/>
      <c r="L25" s="2" t="n"/>
      <c r="M25" s="2" t="n"/>
      <c r="N25" s="2" t="n"/>
    </row>
    <row r="26" ht="18.75" customHeight="1">
      <c r="A26" s="14" t="inlineStr">
        <is>
          <t>Despatcher-tied</t>
        </is>
      </c>
      <c r="C26" s="2" t="n"/>
      <c r="E26" s="2" t="n"/>
      <c r="F26" s="16" t="n"/>
      <c r="G26" s="2" t="n"/>
      <c r="H26" s="2" t="n"/>
      <c r="I26" s="2" t="n"/>
      <c r="J26" s="2" t="n"/>
      <c r="L26" s="2" t="n"/>
      <c r="M26" s="2" t="n"/>
      <c r="N26" s="2" t="n"/>
    </row>
    <row r="27" ht="30.75" customFormat="1" customHeight="1" s="1">
      <c r="A27" s="2" t="n"/>
      <c r="B27" s="2" t="inlineStr">
        <is>
          <t>Type</t>
        </is>
      </c>
      <c r="C27" s="2" t="inlineStr">
        <is>
          <t>PS instruction</t>
        </is>
      </c>
      <c r="D27" s="2" t="inlineStr">
        <is>
          <t>script</t>
        </is>
      </c>
      <c r="E27" s="2" t="inlineStr">
        <is>
          <t>-action</t>
        </is>
      </c>
      <c r="F27" s="2" t="inlineStr">
        <is>
          <t>-RunId</t>
        </is>
      </c>
      <c r="G27" s="2" t="inlineStr">
        <is>
          <t>-Id</t>
        </is>
      </c>
      <c r="H27" s="9" t="inlineStr">
        <is>
          <t>-Decision</t>
        </is>
      </c>
      <c r="I27" s="9" t="inlineStr">
        <is>
          <t>-AnsweredBy</t>
        </is>
      </c>
      <c r="J27" s="2" t="inlineStr">
        <is>
          <t>-Resolution</t>
        </is>
      </c>
      <c r="K27" s="2" t="inlineStr">
        <is>
          <t>-Tried</t>
        </is>
      </c>
      <c r="L27" s="9" t="inlineStr">
        <is>
          <t>-Comment</t>
        </is>
      </c>
      <c r="M27" s="3" t="n"/>
      <c r="N27" s="3" t="n"/>
      <c r="O27" s="2" t="n"/>
    </row>
    <row r="28" ht="60" customFormat="1" customHeight="1" s="1">
      <c r="A28" s="2" t="n"/>
      <c r="B28" s="2" t="n"/>
      <c r="C28" s="2" t="n"/>
      <c r="D28" s="2" t="n"/>
      <c r="E28" s="3" t="inlineStr">
        <is>
          <t>AnswerRun|ResolveSelfCorrectable|EscalateToDecision</t>
        </is>
      </c>
      <c r="F28" s="3" t="inlineStr">
        <is>
          <t>AnswerRun only -- addresses the paused RUN, not the escalation id</t>
        </is>
      </c>
      <c r="G28" s="3" t="inlineStr">
        <is>
          <t>ResolveSelfCorrectable|EscalateToDecision only -- addresses the escalation id</t>
        </is>
      </c>
      <c r="H28" s="3" t="inlineStr">
        <is>
          <t>Approve|Reject|Revise|Hold|Noted -- AnswerRun only</t>
        </is>
      </c>
      <c r="I28" s="3" t="inlineStr">
        <is>
          <t>required, no default -- Claude|Researcher</t>
        </is>
      </c>
      <c r="J28" s="3" t="inlineStr">
        <is>
          <t>ResolveSelfCorrectable only (required)</t>
        </is>
      </c>
      <c r="K28" s="3" t="inlineStr">
        <is>
          <t>EscalateToDecision only (required)</t>
        </is>
      </c>
      <c r="L28" s="3" t="inlineStr">
        <is>
          <t>AnswerRun optional (required if -Decision Revise); not used by the other two</t>
        </is>
      </c>
      <c r="M28" s="2" t="n"/>
      <c r="N28" s="2" t="n"/>
      <c r="O28" s="2" t="n"/>
    </row>
    <row r="29" ht="39.75" customHeight="1">
      <c r="A29" s="1" t="inlineStr">
        <is>
          <t>Despatcher action</t>
        </is>
      </c>
      <c r="B29" s="2" t="inlineStr">
        <is>
          <t>AnswerRun</t>
        </is>
      </c>
      <c r="C29" s="2">
        <f>D29&amp;" " &amp;$E$27&amp;" "&amp;E29&amp;" " &amp;$F$27&amp;" "&amp;F29&amp;" "  &amp;$H$27&amp;" "&amp;H29&amp;" " &amp;$I$27&amp;" "&amp;I29&amp;" " &amp;IF(L29="","",$L$27&amp;" '"&amp;L29&amp;"' ")</f>
        <v/>
      </c>
      <c r="D29" s="1" t="inlineStr">
        <is>
          <t>iba\app\ps\Escalation.ps1</t>
        </is>
      </c>
      <c r="E29" s="2" t="inlineStr">
        <is>
          <t>AnswerRun</t>
        </is>
      </c>
      <c r="F29" s="2" t="inlineStr">
        <is>
          <t>RUN-20260829_063456_930-CONFIGMAINT</t>
        </is>
      </c>
      <c r="G29" s="2" t="n"/>
      <c r="H29" s="2" t="inlineStr">
        <is>
          <t>Approve</t>
        </is>
      </c>
      <c r="I29" s="2" t="inlineStr">
        <is>
          <t>Researcher</t>
        </is>
      </c>
      <c r="J29" s="2" t="n"/>
      <c r="L29" s="2" t="n"/>
      <c r="M29" s="2" t="n"/>
      <c r="N29" s="2" t="n"/>
    </row>
    <row r="30" ht="30" customHeight="1">
      <c r="B30" s="2" t="inlineStr">
        <is>
          <t>ResolveSelfCorrectable</t>
        </is>
      </c>
      <c r="C30">
        <f>D30&amp;" " &amp;$E$27&amp;" "&amp;E30&amp;" " &amp;$G$27&amp;" "&amp;G30&amp;" "  &amp;$I$27&amp;" "&amp;I30&amp;" " &amp;$J$27&amp;" '"&amp;J30&amp;"' "</f>
        <v/>
      </c>
      <c r="D30" s="2" t="inlineStr">
        <is>
          <t>iba\app\ps\Escalation.ps1</t>
        </is>
      </c>
      <c r="E30" s="2" t="inlineStr">
        <is>
          <t>ResolveSelfCorrectable</t>
        </is>
      </c>
      <c r="G30" s="2" t="n">
        <v>1300</v>
      </c>
      <c r="I30" s="2" t="inlineStr">
        <is>
          <t>Claude</t>
        </is>
      </c>
      <c r="J30" t="inlineStr">
        <is>
          <t>usage error, not a code defect -- retried immediately with the missing flag included</t>
        </is>
      </c>
    </row>
    <row r="31" ht="30" customHeight="1">
      <c r="B31" s="2" t="inlineStr">
        <is>
          <t>EscalateToDecision</t>
        </is>
      </c>
      <c r="C31">
        <f>D31&amp;" " &amp;$E$27&amp;" "&amp;E31&amp;" " &amp;$G$27&amp;" "&amp;G31&amp;" "  &amp;$I$27&amp;" "&amp;I31&amp;" " &amp;$K$27&amp;" '"&amp;K31&amp;"' "</f>
        <v/>
      </c>
      <c r="D31" s="2" t="inlineStr">
        <is>
          <t>iba\app\ps\Escalation.ps1</t>
        </is>
      </c>
      <c r="E31" s="2" t="inlineStr">
        <is>
          <t>EscalateToDecision</t>
        </is>
      </c>
      <c r="G31" s="2" t="n">
        <v>812</v>
      </c>
      <c r="I31" s="2" t="inlineStr">
        <is>
          <t>Claude</t>
        </is>
      </c>
      <c r="K31" t="inlineStr">
        <is>
          <t>widened the retry window, but the limit is a design choice</t>
        </is>
      </c>
    </row>
    <row r="32" ht="18.75" customHeight="1">
      <c r="A32" s="15" t="inlineStr">
        <is>
          <t>Correction</t>
        </is>
      </c>
    </row>
    <row r="33" ht="45" customHeight="1">
      <c r="B33" s="2" t="inlineStr">
        <is>
          <t>Type</t>
        </is>
      </c>
      <c r="C33" s="2" t="inlineStr">
        <is>
          <t>PS instruction</t>
        </is>
      </c>
      <c r="D33" s="2" t="inlineStr">
        <is>
          <t>script</t>
        </is>
      </c>
      <c r="E33" s="2" t="inlineStr">
        <is>
          <t>-action</t>
        </is>
      </c>
      <c r="F33" s="2" t="inlineStr">
        <is>
          <t>-Id</t>
        </is>
      </c>
      <c r="G33" s="2" t="inlineStr">
        <is>
          <t>-ShortDescription</t>
        </is>
      </c>
      <c r="H33" s="9" t="inlineStr">
        <is>
          <t>-AnsweredBy</t>
        </is>
      </c>
      <c r="I33" s="9" t="inlineStr">
        <is>
          <t>-NextAction</t>
        </is>
      </c>
      <c r="J33" s="2" t="inlineStr">
        <is>
          <t>-AssignedTo</t>
        </is>
      </c>
      <c r="K33" s="2" t="inlineStr">
        <is>
          <t>-State</t>
        </is>
      </c>
      <c r="L33" s="9" t="inlineStr">
        <is>
          <t>-Resolution</t>
        </is>
      </c>
      <c r="M33" s="2" t="inlineStr">
        <is>
          <t>-Tried</t>
        </is>
      </c>
      <c r="N33" s="2" t="inlineStr">
        <is>
          <t>-Context</t>
        </is>
      </c>
      <c r="O33" s="2" t="inlineStr">
        <is>
          <t>-Comment</t>
        </is>
      </c>
    </row>
    <row r="34" ht="90" customHeight="1">
      <c r="F34" s="3" t="inlineStr">
        <is>
          <t>required</t>
        </is>
      </c>
      <c r="G34" s="3" t="inlineStr">
        <is>
          <t>the corrected title -- most common use (escalation #774): fixing a wrongly-worded title</t>
        </is>
      </c>
      <c r="H34" s="3" t="inlineStr">
        <is>
          <t>required, no default -- Claude|Researcher</t>
        </is>
      </c>
      <c r="I34" s="3" t="inlineStr">
        <is>
          <t>any value -- Correction can set state to ANY value, unlike Update</t>
        </is>
      </c>
      <c r="L34" s="3" t="inlineStr">
        <is>
          <t>if correcting a resolution</t>
        </is>
      </c>
      <c r="M34" s="3" t="inlineStr">
        <is>
          <t>if correcting a tried</t>
        </is>
      </c>
      <c r="O34" s="3" t="inlineStr">
        <is>
          <t>the reason for the correction</t>
        </is>
      </c>
    </row>
    <row r="35" ht="75" customHeight="1">
      <c r="B35" s="2" t="inlineStr">
        <is>
          <t>Correction</t>
        </is>
      </c>
      <c r="C35" s="1">
        <f>D35&amp;" " &amp;$E$33&amp;" "&amp;E35&amp;" " &amp;$F$33&amp;" "&amp;F35&amp;" "  &amp;$G$33&amp;" '"&amp;G35&amp;"' " &amp;$H$33&amp;" "&amp;H35&amp;" " &amp;$O$33&amp;" '"&amp;O35&amp;"' "</f>
        <v/>
      </c>
      <c r="D35" s="2" t="inlineStr">
        <is>
          <t>iba\app\ps\Escalation.ps1</t>
        </is>
      </c>
      <c r="E35" s="2" t="inlineStr">
        <is>
          <t>correction</t>
        </is>
      </c>
      <c r="F35" s="2" t="n">
        <v>741</v>
      </c>
      <c r="G35" s="2" t="n"/>
      <c r="H35" s="2" t="inlineStr">
        <is>
          <t>Researcher</t>
        </is>
      </c>
      <c r="J35" s="1" t="inlineStr">
        <is>
          <t>Claude</t>
        </is>
      </c>
      <c r="O35" s="2" t="inlineStr">
        <is>
          <t>original title had a typo</t>
        </is>
      </c>
    </row>
    <row r="37">
      <c r="A37" t="inlineStr">
        <is>
          <t>Threads (escalation #2000)</t>
        </is>
      </c>
    </row>
    <row r="38">
      <c r="B38" t="inlineStr">
        <is>
          <t>Type</t>
        </is>
      </c>
      <c r="C38" t="inlineStr">
        <is>
          <t>PS instruction</t>
        </is>
      </c>
      <c r="D38" t="inlineStr">
        <is>
          <t>script</t>
        </is>
      </c>
      <c r="E38" t="inlineStr">
        <is>
          <t>-action</t>
        </is>
      </c>
      <c r="F38" t="inlineStr">
        <is>
          <t>-Id</t>
        </is>
      </c>
      <c r="G38" t="inlineStr">
        <is>
          <t>-Item</t>
        </is>
      </c>
      <c r="H38" t="inlineStr">
        <is>
          <t>-ResponseKind</t>
        </is>
      </c>
      <c r="I38" t="inlineStr">
        <is>
          <t>-Respond</t>
        </is>
      </c>
      <c r="J38" t="inlineStr">
        <is>
          <t>-Via</t>
        </is>
      </c>
      <c r="K38" t="inlineStr">
        <is>
          <t>-AddItem</t>
        </is>
      </c>
      <c r="L38" t="inlineStr">
        <is>
          <t>-File</t>
        </is>
      </c>
      <c r="M38" t="inlineStr">
        <is>
          <t>-ComesBackWhen</t>
        </is>
      </c>
      <c r="N38" t="inlineStr">
        <is>
          <t>-For</t>
        </is>
      </c>
      <c r="O38" t="inlineStr">
        <is>
          <t>-Cluster</t>
        </is>
      </c>
      <c r="P38" t="inlineStr">
        <is>
          <t>-Strong</t>
        </is>
      </c>
      <c r="Q38" t="inlineStr">
        <is>
          <t>-Verse</t>
        </is>
      </c>
      <c r="R38" t="inlineStr">
        <is>
          <t>-AnsweredBy</t>
        </is>
      </c>
      <c r="S38" t="inlineStr">
        <is>
          <t>-State</t>
        </is>
      </c>
      <c r="T38" t="inlineStr">
        <is>
          <t>-Question</t>
        </is>
      </c>
      <c r="U38" t="inlineStr">
        <is>
          <t>-Comment</t>
        </is>
      </c>
      <c r="V38" t="inlineStr">
        <is>
          <t>-Type</t>
        </is>
      </c>
      <c r="W38" t="inlineStr">
        <is>
          <t>-ResolutionKind</t>
        </is>
      </c>
      <c r="X38" t="inlineStr">
        <is>
          <t>-NextAction</t>
        </is>
      </c>
      <c r="Y38" t="inlineStr">
        <is>
          <t>-SupersededBy</t>
        </is>
      </c>
    </row>
    <row r="39">
      <c r="F39" t="inlineStr">
        <is>
          <t>id or alias, e.g. OT-16</t>
        </is>
      </c>
      <c r="G39" t="inlineStr">
        <is>
          <t>OT-16.2 | 2 | cluster:M03 | M03 (repeatable)</t>
        </is>
      </c>
      <c r="H39" t="inlineStr">
        <is>
          <t>touched|narrowed|forward|ruling|note|closed|reopened|withdrawn|superseded (superseded names OT-nn[.n] or #nnnn in -Respond)</t>
        </is>
      </c>
      <c r="I39" t="inlineStr">
        <is>
          <t>the response; a researcher's is quoted verbatim</t>
        </is>
      </c>
      <c r="J39" t="inlineStr">
        <is>
          <t>the task/issue whose work gave the response</t>
        </is>
      </c>
      <c r="K39" t="inlineStr">
        <is>
          <t>kind:value[ :: note] (needed with forward)</t>
        </is>
      </c>
      <c r="L39" t="inlineStr">
        <is>
          <t>full repo-relative path (repeatable)</t>
        </is>
      </c>
      <c r="M39" t="inlineStr">
        <is>
          <t>Raise thread / Update</t>
        </is>
      </c>
      <c r="N39" t="inlineStr">
        <is>
          <t>Match only: records the match on each thread</t>
        </is>
      </c>
      <c r="O39" t="inlineStr">
        <is>
          <t>Match (repeatable)</t>
        </is>
      </c>
      <c r="P39" t="inlineStr">
        <is>
          <t>Match (repeatable)</t>
        </is>
      </c>
      <c r="Q39" t="inlineStr">
        <is>
          <t>Match (repeatable), e.g. 'Rom 7:15'</t>
        </is>
      </c>
      <c r="R39" t="inlineStr">
        <is>
          <t>required on writes -- Claude|Researcher</t>
        </is>
      </c>
      <c r="S39" t="inlineStr">
        <is>
          <t>Thread: on-hold|in-progress narrows. Raise: on-hold|in-progress|raised (T2)</t>
        </is>
      </c>
      <c r="V39" t="inlineStr">
        <is>
          <t>thread (Raise, Export)</t>
        </is>
      </c>
      <c r="W39" t="inlineStr">
        <is>
          <t>SelfCorrectable (threads, T4)</t>
        </is>
      </c>
      <c r="X39" t="inlineStr">
        <is>
          <t>reject (with -State withdraw|supersede) to end a thread</t>
        </is>
      </c>
      <c r="Y39" t="inlineStr">
        <is>
          <t>supersede only: the successor thread OT-nn (open items move to it)</t>
        </is>
      </c>
    </row>
    <row r="40">
      <c r="B40" t="inlineStr">
        <is>
          <t>list open threads</t>
        </is>
      </c>
      <c r="C40">
        <f>D40&amp;" "&amp;$E$38&amp;" "&amp;E40</f>
        <v/>
      </c>
      <c r="D40" t="inlineStr">
        <is>
          <t>iba\app\ps\Escalation.ps1</t>
        </is>
      </c>
      <c r="E40" t="inlineStr">
        <is>
          <t>Thread</t>
        </is>
      </c>
    </row>
    <row r="41">
      <c r="B41" t="inlineStr">
        <is>
          <t>one thread in full</t>
        </is>
      </c>
      <c r="C41">
        <f>D41&amp;" "&amp;$E$38&amp;" "&amp;E41&amp;" "&amp;$F$38&amp;" "&amp;F41</f>
        <v/>
      </c>
      <c r="D41" t="inlineStr">
        <is>
          <t>iba\app\ps\Escalation.ps1</t>
        </is>
      </c>
      <c r="E41" t="inlineStr">
        <is>
          <t>Thread</t>
        </is>
      </c>
      <c r="F41" t="inlineStr">
        <is>
          <t>OT-16</t>
        </is>
      </c>
    </row>
    <row r="42">
      <c r="B42" t="inlineStr">
        <is>
          <t>match (read-only)</t>
        </is>
      </c>
      <c r="C42">
        <f>D42&amp;" "&amp;$E$38&amp;" "&amp;E42&amp;" "&amp;$O$38&amp;" "&amp;O42&amp;" "&amp;$P$38&amp;" "&amp;P42</f>
        <v/>
      </c>
      <c r="D42" t="inlineStr">
        <is>
          <t>iba\app\ps\Escalation.ps1</t>
        </is>
      </c>
      <c r="E42" t="inlineStr">
        <is>
          <t>Match</t>
        </is>
      </c>
      <c r="O42" t="inlineStr">
        <is>
          <t>M18</t>
        </is>
      </c>
      <c r="P42" t="inlineStr">
        <is>
          <t>H2530</t>
        </is>
      </c>
    </row>
    <row r="43">
      <c r="B43" t="inlineStr">
        <is>
          <t>match and record</t>
        </is>
      </c>
      <c r="C43">
        <f>D43&amp;" "&amp;$E$38&amp;" "&amp;E43&amp;" "&amp;$N$38&amp;" "&amp;N43&amp;" "&amp;$O$38&amp;" "&amp;O43&amp;" "&amp;$R$38&amp;" "&amp;R43</f>
        <v/>
      </c>
      <c r="D43" t="inlineStr">
        <is>
          <t>iba\app\ps\Escalation.ps1</t>
        </is>
      </c>
      <c r="E43" t="inlineStr">
        <is>
          <t>Match</t>
        </is>
      </c>
      <c r="N43" t="n">
        <v>1993</v>
      </c>
      <c r="O43" t="inlineStr">
        <is>
          <t>M18</t>
        </is>
      </c>
      <c r="R43" t="inlineStr">
        <is>
          <t>Claude</t>
        </is>
      </c>
    </row>
    <row r="44">
      <c r="B44" t="inlineStr">
        <is>
          <t>session-start check</t>
        </is>
      </c>
      <c r="C44">
        <f>D44&amp;" "&amp;$E$38&amp;" "&amp;E44&amp;" "&amp;$R$38&amp;" "&amp;R44</f>
        <v/>
      </c>
      <c r="D44" t="inlineStr">
        <is>
          <t>iba\app\ps\Escalation.ps1</t>
        </is>
      </c>
      <c r="E44" t="inlineStr">
        <is>
          <t>ThreadCheck</t>
        </is>
      </c>
      <c r="R44" t="inlineStr">
        <is>
          <t>Claude</t>
        </is>
      </c>
    </row>
    <row r="45">
      <c r="B45" t="inlineStr">
        <is>
          <t>close an item</t>
        </is>
      </c>
      <c r="C45">
        <f>D45&amp;" "&amp;$E$38&amp;" "&amp;E45&amp;" "&amp;$F$38&amp;" "&amp;F45&amp;" "&amp;$G$38&amp;" "&amp;G45&amp;" "&amp;$H$38&amp;" "&amp;H45&amp;" "&amp;$I$38&amp;" '"&amp;I45&amp;"'"&amp;" "&amp;$J$38&amp;" "&amp;J45&amp;" "&amp;$R$38&amp;" "&amp;R45</f>
        <v/>
      </c>
      <c r="D45" t="inlineStr">
        <is>
          <t>iba\app\ps\Escalation.ps1</t>
        </is>
      </c>
      <c r="E45" t="inlineStr">
        <is>
          <t>Update</t>
        </is>
      </c>
      <c r="F45" t="inlineStr">
        <is>
          <t>OT-16</t>
        </is>
      </c>
      <c r="G45" t="inlineStr">
        <is>
          <t>OT-16.2</t>
        </is>
      </c>
      <c r="H45" t="inlineStr">
        <is>
          <t>closed</t>
        </is>
      </c>
      <c r="I45" t="inlineStr">
        <is>
          <t>Eze 19:14 read with M03, no anger in the verse</t>
        </is>
      </c>
      <c r="J45" t="n">
        <v>2010</v>
      </c>
      <c r="R45" t="inlineStr">
        <is>
          <t>Researcher</t>
        </is>
      </c>
    </row>
    <row r="46">
      <c r="B46" t="inlineStr">
        <is>
          <t>forward an item</t>
        </is>
      </c>
      <c r="C46">
        <f>D46&amp;" "&amp;$E$38&amp;" "&amp;E46&amp;" "&amp;$F$38&amp;" "&amp;F46&amp;" "&amp;$G$38&amp;" "&amp;G46&amp;" "&amp;$H$38&amp;" "&amp;H46&amp;" "&amp;$I$38&amp;" '"&amp;I46&amp;"'"&amp;" "&amp;$K$38&amp;" '"&amp;K46&amp;"'"&amp;" "&amp;$R$38&amp;" "&amp;R46</f>
        <v/>
      </c>
      <c r="D46" t="inlineStr">
        <is>
          <t>iba\app\ps\Escalation.ps1</t>
        </is>
      </c>
      <c r="E46" t="inlineStr">
        <is>
          <t>Update</t>
        </is>
      </c>
      <c r="F46" t="inlineStr">
        <is>
          <t>OT-16</t>
        </is>
      </c>
      <c r="G46" t="inlineStr">
        <is>
          <t>OT-16.3</t>
        </is>
      </c>
      <c r="H46" t="inlineStr">
        <is>
          <t>forward</t>
        </is>
      </c>
      <c r="I46" t="inlineStr">
        <is>
          <t>forward to M58</t>
        </is>
      </c>
      <c r="K46" t="inlineStr">
        <is>
          <t>cluster:M58</t>
        </is>
      </c>
      <c r="R46" t="inlineStr">
        <is>
          <t>Researcher</t>
        </is>
      </c>
    </row>
    <row r="47">
      <c r="B47" t="inlineStr">
        <is>
          <t>add an item</t>
        </is>
      </c>
      <c r="C47">
        <f>D47&amp;" "&amp;$E$38&amp;" "&amp;E47&amp;" "&amp;$F$38&amp;" "&amp;F47&amp;" "&amp;$K$38&amp;" '"&amp;K47&amp;"'"&amp;" "&amp;$L$38&amp;" '"&amp;L47&amp;"'"&amp;" "&amp;$R$38&amp;" "&amp;R47</f>
        <v/>
      </c>
      <c r="D47" t="inlineStr">
        <is>
          <t>iba\app\ps\Escalation.ps1</t>
        </is>
      </c>
      <c r="E47" t="inlineStr">
        <is>
          <t>Update</t>
        </is>
      </c>
      <c r="F47" t="inlineStr">
        <is>
          <t>OT-16</t>
        </is>
      </c>
      <c r="K47" t="inlineStr">
        <is>
          <t>verse:Rom 7:15-21 :: 7 verses</t>
        </is>
      </c>
      <c r="L47" t="inlineStr">
        <is>
          <t>_analytics/Clusters/example.md</t>
        </is>
      </c>
      <c r="R47" t="inlineStr">
        <is>
          <t>Claude</t>
        </is>
      </c>
    </row>
    <row r="48">
      <c r="B48" t="inlineStr">
        <is>
          <t>raise a thread</t>
        </is>
      </c>
      <c r="C48">
        <f>D48&amp;" "&amp;$E$38&amp;" "&amp;E48&amp;" "&amp;$V$38&amp;" "&amp;V48&amp;" "&amp;$T$38&amp;" '"&amp;T48&amp;"'"&amp;" "&amp;$U$38&amp;" '"&amp;U48&amp;"'"&amp;" "&amp;$M$38&amp;" '"&amp;M48&amp;"'"&amp;" "&amp;$G$38&amp;" '"&amp;G48&amp;"'"&amp;" "&amp;$W$38&amp;" "&amp;W48&amp;" "&amp;$S$38&amp;" "&amp;S48&amp;" "&amp;$R$38&amp;" "&amp;R48</f>
        <v/>
      </c>
      <c r="D48" t="inlineStr">
        <is>
          <t>iba\app\ps\Escalation.ps1</t>
        </is>
      </c>
      <c r="E48" t="inlineStr">
        <is>
          <t>Raise</t>
        </is>
      </c>
      <c r="G48" t="inlineStr">
        <is>
          <t>cluster:M15</t>
        </is>
      </c>
      <c r="M48" t="inlineStr">
        <is>
          <t>M15 is read</t>
        </is>
      </c>
      <c r="R48" t="inlineStr">
        <is>
          <t>Claude</t>
        </is>
      </c>
      <c r="S48" t="inlineStr">
        <is>
          <t>on-hold</t>
        </is>
      </c>
      <c r="T48" t="inlineStr">
        <is>
          <t>Mind in Romans 8</t>
        </is>
      </c>
      <c r="U48" t="inlineStr">
        <is>
          <t>the thread text</t>
        </is>
      </c>
      <c r="V48" t="inlineStr">
        <is>
          <t>thread</t>
        </is>
      </c>
      <c r="W48" t="inlineStr">
        <is>
          <t>SelfCorrectable</t>
        </is>
      </c>
    </row>
    <row r="49">
      <c r="B49" t="inlineStr">
        <is>
          <t>regenerate the register</t>
        </is>
      </c>
      <c r="C49">
        <f>D49&amp;" "&amp;$E$38&amp;" "&amp;E49&amp;" "&amp;$V$38&amp;" "&amp;V49</f>
        <v/>
      </c>
      <c r="D49" t="inlineStr">
        <is>
          <t>iba\app\ps\Escalation.ps1</t>
        </is>
      </c>
      <c r="E49" t="inlineStr">
        <is>
          <t>Export</t>
        </is>
      </c>
      <c r="V49" t="inlineStr">
        <is>
          <t>thread</t>
        </is>
      </c>
    </row>
    <row r="50">
      <c r="B50" t="inlineStr">
        <is>
          <t>withdraw an item</t>
        </is>
      </c>
      <c r="C50">
        <f>D50&amp;" "&amp;$E$38&amp;" "&amp;E50&amp;" "&amp;$F$38&amp;" "&amp;F50&amp;" "&amp;$G$38&amp;" "&amp;G50&amp;" "&amp;$H$38&amp;" "&amp;H50&amp;" "&amp;$I$38&amp;" '"&amp;I50&amp;"'"&amp;" "&amp;$R$38&amp;" "&amp;R50</f>
        <v/>
      </c>
      <c r="D50" t="inlineStr">
        <is>
          <t>iba\app\ps\Escalation.ps1</t>
        </is>
      </c>
      <c r="E50" t="inlineStr">
        <is>
          <t>Update</t>
        </is>
      </c>
      <c r="F50" t="inlineStr">
        <is>
          <t>OT-16</t>
        </is>
      </c>
      <c r="G50" t="inlineStr">
        <is>
          <t>OT-16.3</t>
        </is>
      </c>
      <c r="H50" t="inlineStr">
        <is>
          <t>withdrawn</t>
        </is>
      </c>
      <c r="I50" t="inlineStr">
        <is>
          <t>no longer relevant: the ruling of 2026-10-12</t>
        </is>
      </c>
      <c r="R50" t="inlineStr">
        <is>
          <t>Claude</t>
        </is>
      </c>
    </row>
    <row r="51">
      <c r="B51" t="inlineStr">
        <is>
          <t>supersede an item</t>
        </is>
      </c>
      <c r="C51">
        <f>D51&amp;" "&amp;$E$38&amp;" "&amp;E51&amp;" "&amp;$F$38&amp;" "&amp;F51&amp;" "&amp;$G$38&amp;" "&amp;G51&amp;" "&amp;$H$38&amp;" "&amp;H51&amp;" "&amp;$I$38&amp;" '"&amp;I51&amp;"'"&amp;" "&amp;$R$38&amp;" "&amp;R51</f>
        <v/>
      </c>
      <c r="D51" t="inlineStr">
        <is>
          <t>iba\app\ps\Escalation.ps1</t>
        </is>
      </c>
      <c r="E51" t="inlineStr">
        <is>
          <t>Update</t>
        </is>
      </c>
      <c r="F51" t="inlineStr">
        <is>
          <t>OT-16</t>
        </is>
      </c>
      <c r="G51" t="inlineStr">
        <is>
          <t>OT-16.3</t>
        </is>
      </c>
      <c r="H51" t="inlineStr">
        <is>
          <t>superseded</t>
        </is>
      </c>
      <c r="I51" t="inlineStr">
        <is>
          <t>carried by OT-41.2: the same question, wider</t>
        </is>
      </c>
      <c r="R51" t="inlineStr">
        <is>
          <t>Claude</t>
        </is>
      </c>
    </row>
    <row r="52">
      <c r="B52" t="inlineStr">
        <is>
          <t>withdraw a thread</t>
        </is>
      </c>
      <c r="C52">
        <f>D52&amp;" "&amp;$E$38&amp;" "&amp;E52&amp;" "&amp;$F$38&amp;" "&amp;F52&amp;" "&amp;$X$38&amp;" "&amp;X52&amp;" "&amp;$S$38&amp;" "&amp;S52&amp;" "&amp;$U$38&amp;" '"&amp;U52&amp;"'"&amp;" "&amp;$R$38&amp;" "&amp;R52</f>
        <v/>
      </c>
      <c r="D52" t="inlineStr">
        <is>
          <t>iba\app\ps\Escalation.ps1</t>
        </is>
      </c>
      <c r="E52" t="inlineStr">
        <is>
          <t>Update</t>
        </is>
      </c>
      <c r="F52" t="inlineStr">
        <is>
          <t>OT-40</t>
        </is>
      </c>
      <c r="R52" t="inlineStr">
        <is>
          <t>Claude</t>
        </is>
      </c>
      <c r="S52" t="inlineStr">
        <is>
          <t>withdraw</t>
        </is>
      </c>
      <c r="U52" t="inlineStr">
        <is>
          <t>no longer relevant</t>
        </is>
      </c>
      <c r="X52" t="inlineStr">
        <is>
          <t>reject</t>
        </is>
      </c>
    </row>
    <row r="53">
      <c r="B53" t="inlineStr">
        <is>
          <t>supersede a thread</t>
        </is>
      </c>
      <c r="C53">
        <f>D53&amp;" "&amp;$E$38&amp;" "&amp;E53&amp;" "&amp;$F$38&amp;" "&amp;F53&amp;" "&amp;$X$38&amp;" "&amp;X53&amp;" "&amp;$S$38&amp;" "&amp;S53&amp;" "&amp;$Y$38&amp;" "&amp;Y53&amp;" "&amp;$U$38&amp;" '"&amp;U53&amp;"'"&amp;" "&amp;$R$38&amp;" "&amp;R53</f>
        <v/>
      </c>
      <c r="D53" t="inlineStr">
        <is>
          <t>iba\app\ps\Escalation.ps1</t>
        </is>
      </c>
      <c r="E53" t="inlineStr">
        <is>
          <t>Update</t>
        </is>
      </c>
      <c r="F53" t="inlineStr">
        <is>
          <t>OT-40</t>
        </is>
      </c>
      <c r="R53" t="inlineStr">
        <is>
          <t>Claude</t>
        </is>
      </c>
      <c r="S53" t="inlineStr">
        <is>
          <t>supersede</t>
        </is>
      </c>
      <c r="U53" t="inlineStr">
        <is>
          <t>OT-41 carries the same question</t>
        </is>
      </c>
      <c r="X53" t="inlineStr">
        <is>
          <t>reject</t>
        </is>
      </c>
      <c r="Y53" t="inlineStr">
        <is>
          <t>OT-41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68"/>
  <sheetViews>
    <sheetView workbookViewId="0">
      <selection activeCell="D5" sqref="D5:D10"/>
    </sheetView>
  </sheetViews>
  <sheetFormatPr baseColWidth="8" defaultRowHeight="15"/>
  <cols>
    <col width="26.5703125" customWidth="1" min="1" max="1"/>
  </cols>
  <sheetData>
    <row r="5">
      <c r="A5" t="inlineStr">
        <is>
          <t xml:space="preserve">iba\app\ps\Escalation.ps1 -action update -Id </t>
        </is>
      </c>
      <c r="B5" s="12" t="inlineStr">
        <is>
          <t xml:space="preserve"> -ResolutionKind DecisionRequired -NextAction approved -AssignedTo Claude   -Comment ' processed configs' </t>
        </is>
      </c>
      <c r="C5" t="n">
        <v>1331</v>
      </c>
      <c r="D5">
        <f>A5&amp;C5&amp;B5</f>
        <v/>
      </c>
    </row>
    <row r="6">
      <c r="A6" t="inlineStr">
        <is>
          <t xml:space="preserve">iba\app\ps\Escalation.ps1 -action update -Id </t>
        </is>
      </c>
      <c r="B6" s="12" t="inlineStr">
        <is>
          <t xml:space="preserve"> -ResolutionKind DecisionRequired -NextAction approved -AssignedTo Claude   -Comment ' processed configs' </t>
        </is>
      </c>
      <c r="C6" t="n">
        <v>1332</v>
      </c>
      <c r="D6">
        <f>A6&amp;C6&amp;B6</f>
        <v/>
      </c>
    </row>
    <row r="7">
      <c r="A7" t="inlineStr">
        <is>
          <t xml:space="preserve">iba\app\ps\Escalation.ps1 -action update -Id </t>
        </is>
      </c>
      <c r="B7" s="12" t="inlineStr">
        <is>
          <t xml:space="preserve"> -ResolutionKind DecisionRequired -NextAction approved -AssignedTo Claude   -Comment ' processed configs' </t>
        </is>
      </c>
      <c r="C7" t="n">
        <v>1333</v>
      </c>
      <c r="D7">
        <f>A7&amp;C7&amp;B7</f>
        <v/>
      </c>
    </row>
    <row r="8">
      <c r="A8" t="inlineStr">
        <is>
          <t xml:space="preserve">iba\app\ps\Escalation.ps1 -action update -Id </t>
        </is>
      </c>
      <c r="B8" s="12" t="inlineStr">
        <is>
          <t xml:space="preserve"> -ResolutionKind DecisionRequired -NextAction approved -AssignedTo Claude   -Comment ' processed configs' </t>
        </is>
      </c>
      <c r="C8" t="n">
        <v>1334</v>
      </c>
      <c r="D8">
        <f>A8&amp;C8&amp;B8</f>
        <v/>
      </c>
    </row>
    <row r="9">
      <c r="A9" t="inlineStr">
        <is>
          <t xml:space="preserve">iba\app\ps\Escalation.ps1 -action update -Id </t>
        </is>
      </c>
      <c r="B9" s="12" t="inlineStr">
        <is>
          <t xml:space="preserve"> -ResolutionKind DecisionRequired -NextAction approved -AssignedTo Claude   -Comment ' processed configs' </t>
        </is>
      </c>
      <c r="C9" t="n">
        <v>1335</v>
      </c>
      <c r="D9">
        <f>A9&amp;C9&amp;B9</f>
        <v/>
      </c>
    </row>
    <row r="10">
      <c r="A10" t="inlineStr">
        <is>
          <t xml:space="preserve">iba\app\ps\Escalation.ps1 -action update -Id </t>
        </is>
      </c>
      <c r="B10" s="12" t="inlineStr">
        <is>
          <t xml:space="preserve"> -ResolutionKind DecisionRequired -NextAction approved -AssignedTo Claude   -Comment ' processed configs' </t>
        </is>
      </c>
      <c r="C10" t="n">
        <v>1337</v>
      </c>
      <c r="D10">
        <f>A10&amp;C10&amp;B10</f>
        <v/>
      </c>
    </row>
    <row r="11">
      <c r="B11" s="12" t="n"/>
    </row>
    <row r="12">
      <c r="B12" s="12" t="n"/>
    </row>
    <row r="13">
      <c r="B13" s="12" t="n"/>
    </row>
    <row r="14">
      <c r="B14" s="12" t="n"/>
    </row>
    <row r="15">
      <c r="B15" s="12" t="n"/>
    </row>
    <row r="16">
      <c r="B16" s="12" t="n"/>
    </row>
    <row r="17">
      <c r="B17" s="12" t="n"/>
    </row>
    <row r="18">
      <c r="B18" s="12" t="n"/>
    </row>
    <row r="19">
      <c r="B19" s="12" t="n"/>
    </row>
    <row r="20">
      <c r="B20" s="12" t="n"/>
    </row>
    <row r="21">
      <c r="B21" s="12" t="n"/>
    </row>
    <row r="22">
      <c r="B22" s="12" t="n"/>
    </row>
    <row r="23">
      <c r="B23" s="12" t="n"/>
    </row>
    <row r="24">
      <c r="B24" s="12" t="n"/>
    </row>
    <row r="25">
      <c r="B25" s="12" t="n"/>
    </row>
    <row r="26">
      <c r="B26" s="12" t="n"/>
    </row>
    <row r="27">
      <c r="B27" s="12" t="n"/>
    </row>
    <row r="28">
      <c r="B28" s="12" t="n"/>
    </row>
    <row r="29">
      <c r="B29" s="12" t="n"/>
    </row>
    <row r="30">
      <c r="B30" s="12" t="n"/>
    </row>
    <row r="31">
      <c r="B31" s="12" t="n"/>
    </row>
    <row r="32">
      <c r="B32" s="12" t="n"/>
    </row>
    <row r="33">
      <c r="B33" s="12" t="n"/>
    </row>
    <row r="34">
      <c r="B34" s="12" t="n"/>
    </row>
    <row r="35">
      <c r="B35" s="12" t="n"/>
    </row>
    <row r="36">
      <c r="B36" s="12" t="n"/>
    </row>
    <row r="37">
      <c r="B37" s="12" t="n"/>
    </row>
    <row r="38">
      <c r="B38" s="12" t="n"/>
    </row>
    <row r="39">
      <c r="B39" s="12" t="n"/>
    </row>
    <row r="40">
      <c r="B40" s="12" t="n"/>
    </row>
    <row r="41">
      <c r="B41" s="12" t="n"/>
    </row>
    <row r="42">
      <c r="B42" s="12" t="n"/>
    </row>
    <row r="43">
      <c r="B43" s="12" t="n"/>
    </row>
    <row r="44">
      <c r="B44" s="12" t="n"/>
    </row>
    <row r="45">
      <c r="B45" s="12" t="n"/>
    </row>
    <row r="46">
      <c r="B46" s="12" t="n"/>
    </row>
    <row r="47">
      <c r="B47" s="12" t="n"/>
    </row>
    <row r="48">
      <c r="B48" s="12" t="n"/>
    </row>
    <row r="49">
      <c r="B49" s="12" t="n"/>
    </row>
    <row r="50">
      <c r="B50" s="12" t="n"/>
    </row>
    <row r="51">
      <c r="B51" s="12" t="n"/>
    </row>
    <row r="52">
      <c r="B52" s="12" t="n"/>
    </row>
    <row r="53">
      <c r="B53" s="12" t="n"/>
    </row>
    <row r="54">
      <c r="B54" s="12" t="n"/>
    </row>
    <row r="55">
      <c r="B55" s="12" t="n"/>
    </row>
    <row r="56">
      <c r="B56" s="12" t="n"/>
    </row>
    <row r="57">
      <c r="B57" s="12" t="n"/>
    </row>
    <row r="58">
      <c r="B58" s="12" t="n"/>
    </row>
    <row r="59">
      <c r="B59" s="12" t="n"/>
    </row>
    <row r="60">
      <c r="B60" s="12" t="n"/>
    </row>
    <row r="61">
      <c r="B61" s="12" t="n"/>
    </row>
    <row r="62">
      <c r="B62" s="12" t="n"/>
    </row>
    <row r="63">
      <c r="B63" s="12" t="n"/>
    </row>
    <row r="64">
      <c r="B64" s="12" t="n"/>
    </row>
    <row r="65">
      <c r="B65" s="12" t="n"/>
    </row>
    <row r="66">
      <c r="B66" s="12" t="n"/>
    </row>
    <row r="67">
      <c r="B67" s="12" t="n"/>
    </row>
    <row r="68">
      <c r="B68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2026-08-29T05:50:12Z</dcterms:created>
  <dcterms:modified xmlns:dcterms="http://purl.org/dc/terms/" xmlns:xsi="http://www.w3.org/2001/XMLSchema-instance" xsi:type="dcterms:W3CDTF">2026-10-12T13:51:42Z</dcterms:modified>
  <cp:lastModifiedBy>LeRoux Cilliers</cp:lastModifiedBy>
</cp:coreProperties>
</file>