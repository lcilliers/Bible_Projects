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2456" tabRatio="600" firstSheet="33" activeTab="38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ehaviour" sheetId="2" state="visible" r:id="rId2"/>
    <sheet xmlns:r="http://schemas.openxmlformats.org/officeDocument/2006/relationships" name="Build-Passages" sheetId="3" state="visible" r:id="rId3"/>
    <sheet xmlns:r="http://schemas.openxmlformats.org/officeDocument/2006/relationships" name="Cluster-Assign" sheetId="4" state="visible" r:id="rId4"/>
    <sheet xmlns:r="http://schemas.openxmlformats.org/officeDocument/2006/relationships" name="Cluster-Report" sheetId="5" state="visible" r:id="rId5"/>
    <sheet xmlns:r="http://schemas.openxmlformats.org/officeDocument/2006/relationships" name="Config-Maintenance" sheetId="6" state="visible" r:id="rId6"/>
    <sheet xmlns:r="http://schemas.openxmlformats.org/officeDocument/2006/relationships" name="ContentIndex-Search" sheetId="7" state="visible" r:id="rId7"/>
    <sheet xmlns:r="http://schemas.openxmlformats.org/officeDocument/2006/relationships" name="ContentIndex-SizeProfile" sheetId="8" state="visible" r:id="rId8"/>
    <sheet xmlns:r="http://schemas.openxmlformats.org/officeDocument/2006/relationships" name="Debate-Run" sheetId="9" state="visible" r:id="rId9"/>
    <sheet xmlns:r="http://schemas.openxmlformats.org/officeDocument/2006/relationships" name="Escalation" sheetId="10" state="visible" r:id="rId10"/>
    <sheet xmlns:r="http://schemas.openxmlformats.org/officeDocument/2006/relationships" name="Export-Tables" sheetId="11" state="visible" r:id="rId11"/>
    <sheet xmlns:r="http://schemas.openxmlformats.org/officeDocument/2006/relationships" name="FolderPurpose" sheetId="12" state="visible" r:id="rId12"/>
    <sheet xmlns:r="http://schemas.openxmlformats.org/officeDocument/2006/relationships" name="Lexicon-Parse" sheetId="13" state="visible" r:id="rId13"/>
    <sheet xmlns:r="http://schemas.openxmlformats.org/officeDocument/2006/relationships" name="Spine-Check" sheetId="14" state="visible" r:id="rId14"/>
    <sheet xmlns:r="http://schemas.openxmlformats.org/officeDocument/2006/relationships" name="Log-Retention" sheetId="15" state="visible" r:id="rId15"/>
    <sheet xmlns:r="http://schemas.openxmlformats.org/officeDocument/2006/relationships" name="Manifest-Rebuild" sheetId="16" state="visible" r:id="rId16"/>
    <sheet xmlns:r="http://schemas.openxmlformats.org/officeDocument/2006/relationships" name="Manifest-Search" sheetId="17" state="visible" r:id="rId17"/>
    <sheet xmlns:r="http://schemas.openxmlformats.org/officeDocument/2006/relationships" name="New-Word" sheetId="18" state="visible" r:id="rId18"/>
    <sheet xmlns:r="http://schemas.openxmlformats.org/officeDocument/2006/relationships" name="Operations-Ingest" sheetId="19" state="visible" r:id="rId19"/>
    <sheet xmlns:r="http://schemas.openxmlformats.org/officeDocument/2006/relationships" name="Passage-Quality" sheetId="20" state="visible" r:id="rId20"/>
    <sheet xmlns:r="http://schemas.openxmlformats.org/officeDocument/2006/relationships" name="PathAudit" sheetId="21" state="visible" r:id="rId21"/>
    <sheet xmlns:r="http://schemas.openxmlformats.org/officeDocument/2006/relationships" name="Prose" sheetId="22" state="visible" r:id="rId22"/>
    <sheet xmlns:r="http://schemas.openxmlformats.org/officeDocument/2006/relationships" name="Raw-Backfill" sheetId="23" state="visible" r:id="rId23"/>
    <sheet xmlns:r="http://schemas.openxmlformats.org/officeDocument/2006/relationships" name="Registry-Report" sheetId="24" state="visible" r:id="rId24"/>
    <sheet xmlns:r="http://schemas.openxmlformats.org/officeDocument/2006/relationships" name="Reports" sheetId="25" state="visible" r:id="rId25"/>
    <sheet xmlns:r="http://schemas.openxmlformats.org/officeDocument/2006/relationships" name="SchemaOverview-Report" sheetId="26" state="visible" r:id="rId26"/>
    <sheet xmlns:r="http://schemas.openxmlformats.org/officeDocument/2006/relationships" name="SchemaOverview-BibleRes" sheetId="27" state="visible" r:id="rId27"/>
    <sheet xmlns:r="http://schemas.openxmlformats.org/officeDocument/2006/relationships" name="SpanAnalysis-Report" sheetId="28" state="visible" r:id="rId28"/>
    <sheet xmlns:r="http://schemas.openxmlformats.org/officeDocument/2006/relationships" name="Start-Iba" sheetId="29" state="visible" r:id="rId29"/>
    <sheet xmlns:r="http://schemas.openxmlformats.org/officeDocument/2006/relationships" name="StrongMeaning-Report" sheetId="30" state="visible" r:id="rId30"/>
    <sheet xmlns:r="http://schemas.openxmlformats.org/officeDocument/2006/relationships" name="StrongVerse-Report" sheetId="31" state="visible" r:id="rId31"/>
    <sheet xmlns:r="http://schemas.openxmlformats.org/officeDocument/2006/relationships" name="VerseLexical" sheetId="32" state="visible" r:id="rId32"/>
    <sheet xmlns:r="http://schemas.openxmlformats.org/officeDocument/2006/relationships" name="WholeBookRead-Report" sheetId="33" state="visible" r:id="rId33"/>
    <sheet xmlns:r="http://schemas.openxmlformats.org/officeDocument/2006/relationships" name="Catalogue-Report" sheetId="34" state="visible" r:id="rId34"/>
    <sheet xmlns:r="http://schemas.openxmlformats.org/officeDocument/2006/relationships" name="Catalogue-Update" sheetId="35" state="visible" r:id="rId35"/>
    <sheet xmlns:r="http://schemas.openxmlformats.org/officeDocument/2006/relationships" name="BatchProgress" sheetId="36" state="visible" r:id="rId36"/>
    <sheet xmlns:r="http://schemas.openxmlformats.org/officeDocument/2006/relationships" name="CharAnswer" sheetId="37" state="visible" r:id="rId37"/>
    <sheet xmlns:r="http://schemas.openxmlformats.org/officeDocument/2006/relationships" name="CharReading" sheetId="38" state="visible" r:id="rId38"/>
    <sheet xmlns:r="http://schemas.openxmlformats.org/officeDocument/2006/relationships" name="ClusterSubgroup" sheetId="39" state="visible" r:id="rId39"/>
    <sheet xmlns:r="http://schemas.openxmlformats.org/officeDocument/2006/relationships" name="VerseReading" sheetId="40" state="visible" r:id="rId40"/>
    <sheet xmlns:r="http://schemas.openxmlformats.org/officeDocument/2006/relationships" name="Lexical-Readiness" sheetId="41" state="visible" r:id="rId41"/>
    <sheet xmlns:r="http://schemas.openxmlformats.org/officeDocument/2006/relationships" name="VerseMeta" sheetId="42" state="visible" r:id="rId42"/>
    <sheet xmlns:r="http://schemas.openxmlformats.org/officeDocument/2006/relationships" name="Purge-SoftDeletes" sheetId="43" state="visible" r:id="rId43"/>
    <sheet xmlns:r="http://schemas.openxmlformats.org/officeDocument/2006/relationships" name="Observation-Enhancer" sheetId="44" state="visible" r:id="rId44"/>
    <sheet xmlns:r="http://schemas.openxmlformats.org/officeDocument/2006/relationships" name="Session-Close" sheetId="45" state="visible" r:id="rId45"/>
    <sheet xmlns:r="http://schemas.openxmlformats.org/officeDocument/2006/relationships" name="Narrative-Register" sheetId="46" state="visible" r:id="rId46"/>
    <sheet xmlns:r="http://schemas.openxmlformats.org/officeDocument/2006/relationships" name="Strand-Reading" sheetId="47" state="visible" r:id="rId47"/>
    <sheet xmlns:r="http://schemas.openxmlformats.org/officeDocument/2006/relationships" name="Verse-Scope" sheetId="48" state="visible" r:id="rId48"/>
    <sheet xmlns:r="http://schemas.openxmlformats.org/officeDocument/2006/relationships" name="Reading-Index" sheetId="49" state="visible" r:id="rId49"/>
    <sheet xmlns:r="http://schemas.openxmlformats.org/officeDocument/2006/relationships" name="Verse-Collate" sheetId="50" state="visible" r:id="rId50"/>
    <sheet xmlns:r="http://schemas.openxmlformats.org/officeDocument/2006/relationships" name="Open-Item" sheetId="51" state="visible" r:id="rId51"/>
    <sheet xmlns:r="http://schemas.openxmlformats.org/officeDocument/2006/relationships" name="Reading" sheetId="52" state="visible" r:id="rId52"/>
    <sheet xmlns:r="http://schemas.openxmlformats.org/officeDocument/2006/relationships" name="Compliance" sheetId="53" state="visible" r:id="rId53"/>
    <sheet xmlns:r="http://schemas.openxmlformats.org/officeDocument/2006/relationships" name="Copy-NarrativeToLearning4Comfor" sheetId="54" state="visible" r:id="rId54"/>
    <sheet xmlns:r="http://schemas.openxmlformats.org/officeDocument/2006/relationships" name="RelationalReading" sheetId="55" state="visible" r:id="rId55"/>
    <sheet xmlns:r="http://schemas.openxmlformats.org/officeDocument/2006/relationships" name="Run-Stage1Batch" sheetId="56" state="visible" r:id="rId5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theme="1"/>
      <sz val="13"/>
    </font>
    <font>
      <name val="Calibri"/>
      <family val="2"/>
      <color rgb="FF808080"/>
      <sz val="9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i val="1"/>
      <color rgb="FF808080"/>
      <sz val="11"/>
    </font>
    <font>
      <name val="Calibri"/>
      <family val="2"/>
      <color rgb="FF006100"/>
      <sz val="11"/>
    </font>
    <font>
      <name val="Calibri"/>
      <family val="2"/>
      <b val="1"/>
      <color rgb="FFC00000"/>
      <sz val="11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1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2" fillId="0" borderId="1" applyAlignment="1" pivotButton="0" quotePrefix="0" xfId="0">
      <alignment horizontal="left" wrapText="1"/>
    </xf>
    <xf numFmtId="0" fontId="3" fillId="2" borderId="2" applyAlignment="1" pivotButton="0" quotePrefix="0" xfId="0">
      <alignment horizontal="left"/>
    </xf>
    <xf numFmtId="0" fontId="4" fillId="3" borderId="2" applyAlignment="1" pivotButton="0" quotePrefix="0" xfId="0">
      <alignment horizontal="left" wrapText="1"/>
    </xf>
    <xf numFmtId="3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4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wrapText="1"/>
    </xf>
    <xf numFmtId="0" fontId="6" fillId="0" borderId="1" applyAlignment="1" pivotButton="0" quotePrefix="0" xfId="0">
      <alignment wrapText="1"/>
    </xf>
    <xf numFmtId="0" fontId="4" fillId="2" borderId="2" applyAlignment="1" pivotButton="0" quotePrefix="0" xfId="0">
      <alignment horizontal="left"/>
    </xf>
    <xf numFmtId="0" fontId="0" fillId="0" borderId="1" pivotButton="0" quotePrefix="0" xfId="0"/>
    <xf numFmtId="0" fontId="8" fillId="0" borderId="0" pivotButton="0" quotePrefix="0" xfId="0"/>
    <xf numFmtId="0" fontId="9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F59"/>
  <sheetViews>
    <sheetView topLeftCell="A35" workbookViewId="0">
      <selection activeCell="A42" sqref="A42"/>
    </sheetView>
  </sheetViews>
  <sheetFormatPr baseColWidth="8" defaultRowHeight="15"/>
  <cols>
    <col width="34" bestFit="1" customWidth="1" min="1" max="1"/>
    <col width="80" bestFit="1" customWidth="1" min="2" max="2"/>
    <col width="24" bestFit="1" customWidth="1" min="3" max="3"/>
    <col width="13.5703125" bestFit="1" customWidth="1" min="4" max="6"/>
  </cols>
  <sheetData>
    <row r="1" ht="18.75" customHeight="1">
      <c r="A1" s="1" t="inlineStr">
        <is>
          <t>PS Tool Workbook -- iba/app/ps scripts</t>
        </is>
      </c>
    </row>
    <row r="2" ht="60" customFormat="1" customHeight="1" s="18">
      <c r="A2" s="19" t="inlineStr">
        <is>
          <t>Escalation #1004. One tab per script, modeled on the researcher's own 'escalation actions worksheet.xlsx' -- row 4 = flag headers, row 6 = fill in the cells your call needs (leave the rest blank), column B compiles the full command for copy/paste into the terminal. Escalation.ps1 itself is not duplicated here -- use the existing model sheet for that one.</t>
        </is>
      </c>
    </row>
    <row r="3" ht="18.75" customHeight="1"/>
    <row r="4" ht="18.75" customHeight="1">
      <c r="A4" s="9" t="inlineStr">
        <is>
          <t>Script</t>
        </is>
      </c>
      <c r="B4" s="9" t="inlineStr">
        <is>
          <t>Purpose</t>
        </is>
      </c>
      <c r="C4" s="10" t="inlineStr">
        <is>
          <t>Status</t>
        </is>
      </c>
    </row>
    <row r="5" ht="18.75" customFormat="1" customHeight="1" s="18">
      <c r="A5" s="18" t="inlineStr">
        <is>
          <t>Behaviour.ps1</t>
        </is>
      </c>
      <c r="B5" s="19" t="inlineStr">
        <is>
          <t>List behaviour rules (cfg_behaviour_class/cfg_behaviour_rule).</t>
        </is>
      </c>
      <c r="C5" s="11" t="inlineStr">
        <is>
          <t>n/a (not dispatcher-gated)</t>
        </is>
      </c>
    </row>
    <row r="6" ht="18.75" customFormat="1" customHeight="1" s="18">
      <c r="A6" s="18" t="inlineStr">
        <is>
          <t>Build-Passages.ps1</t>
        </is>
      </c>
      <c r="B6" s="19" t="inlineStr">
        <is>
          <t>Build passage rows from a payload.</t>
        </is>
      </c>
      <c r="C6" s="12" t="inlineStr">
        <is>
          <t>Active</t>
        </is>
      </c>
    </row>
    <row r="7" ht="18.75" customFormat="1" customHeight="1" s="18">
      <c r="A7" s="18" t="inlineStr">
        <is>
          <t>Cluster-Assign.ps1</t>
        </is>
      </c>
      <c r="B7" s="19" t="inlineStr">
        <is>
          <t>Assign strongs to M-code clusters / validate assignment.</t>
        </is>
      </c>
      <c r="C7" s="12" t="inlineStr">
        <is>
          <t>Active</t>
        </is>
      </c>
    </row>
    <row r="8" ht="18.75" customFormat="1" customHeight="1" s="18">
      <c r="A8" s="18" t="inlineStr">
        <is>
          <t>Cluster-Report.ps1</t>
        </is>
      </c>
      <c r="B8" s="19" t="inlineStr">
        <is>
          <t>Cluster overview report.</t>
        </is>
      </c>
      <c r="C8" s="12" t="inlineStr">
        <is>
          <t>Active</t>
        </is>
      </c>
    </row>
    <row r="9" ht="18.75" customFormat="1" customHeight="1" s="18">
      <c r="A9" s="18" t="inlineStr">
        <is>
          <t>Config-Maintenance.ps1</t>
        </is>
      </c>
      <c r="B9" s="19" t="inlineStr">
        <is>
          <t>THE sanctioned path for changing a cfg_* row.</t>
        </is>
      </c>
      <c r="C9" s="12" t="inlineStr">
        <is>
          <t>Active</t>
        </is>
      </c>
    </row>
    <row r="10" ht="18.75" customFormat="1" customHeight="1" s="18">
      <c r="A10" s="18" t="inlineStr">
        <is>
          <t>ContentIndex-Search.ps1</t>
        </is>
      </c>
      <c r="B10" s="19" t="inlineStr">
        <is>
          <t>Query the content search index.</t>
        </is>
      </c>
      <c r="C10" s="12" t="inlineStr">
        <is>
          <t>Active</t>
        </is>
      </c>
    </row>
    <row r="11" ht="18.75" customFormat="1" customHeight="1" s="18">
      <c r="A11" s="18" t="inlineStr">
        <is>
          <t>ContentIndex-SizeProfile.ps1</t>
        </is>
      </c>
      <c r="B11" s="19" t="inlineStr">
        <is>
          <t>Size-profile the content index.</t>
        </is>
      </c>
      <c r="C11" s="12" t="inlineStr">
        <is>
          <t>Active</t>
        </is>
      </c>
    </row>
    <row r="12" ht="18.75" customFormat="1" customHeight="1" s="18">
      <c r="A12" s="18" t="inlineStr">
        <is>
          <t>Debate-Run.ps1</t>
        </is>
      </c>
      <c r="B12" s="19" t="inlineStr">
        <is>
          <t>The debate pipeline (HIB/phenomenon/operation/closing) for a book.</t>
        </is>
      </c>
      <c r="C12" s="11" t="inlineStr">
        <is>
          <t>n/a (not dispatcher-gated)</t>
        </is>
      </c>
    </row>
    <row r="13" ht="18.75" customFormat="1" customHeight="1" s="18">
      <c r="A13" s="18" t="inlineStr">
        <is>
          <t>Escalation.ps1</t>
        </is>
      </c>
      <c r="B13" s="19" t="inlineStr">
        <is>
          <t>See the researcher's own model sheet, 'escalation actions worksheet.xlsx' -- not rebuilt here, this tab is a pointer only.</t>
        </is>
      </c>
      <c r="C13" s="12" t="inlineStr">
        <is>
          <t>Active</t>
        </is>
      </c>
    </row>
    <row r="14" ht="18.75" customFormat="1" customHeight="1" s="18">
      <c r="A14" s="18" t="inlineStr">
        <is>
          <t>Export-Tables.ps1</t>
        </is>
      </c>
      <c r="B14" s="19" t="inlineStr">
        <is>
          <t>Export one or more cfg_*/data tables to CSV.</t>
        </is>
      </c>
      <c r="C14" s="12" t="inlineStr">
        <is>
          <t>Active</t>
        </is>
      </c>
    </row>
    <row r="15" ht="18.75" customFormat="1" customHeight="1" s="18">
      <c r="A15" s="18" t="inlineStr">
        <is>
          <t>FolderPurpose.ps1</t>
        </is>
      </c>
      <c r="B15" s="19" t="inlineStr">
        <is>
          <t>The folder_purpose governance mechanism (Methods A-D).</t>
        </is>
      </c>
      <c r="C15" s="12" t="inlineStr">
        <is>
          <t>Active</t>
        </is>
      </c>
    </row>
    <row r="16" ht="18.75" customFormat="1" customHeight="1" s="18">
      <c r="A16" s="18" t="inlineStr">
        <is>
          <t>Lexicon-Parse.ps1</t>
        </is>
      </c>
      <c r="B16" s="19" t="inlineStr">
        <is>
          <t>Parse strong_lexicon / related-word data.</t>
        </is>
      </c>
      <c r="C16" s="12" t="inlineStr">
        <is>
          <t>Active</t>
        </is>
      </c>
    </row>
    <row r="17" ht="18.75" customFormat="1" customHeight="1" s="18">
      <c r="A17" s="18" t="inlineStr">
        <is>
          <t>Log-Retention.ps1</t>
        </is>
      </c>
      <c r="B17" s="19" t="inlineStr">
        <is>
          <t>Apply log-retention rules (prune old logs).</t>
        </is>
      </c>
      <c r="C17" s="12" t="inlineStr">
        <is>
          <t>Active</t>
        </is>
      </c>
    </row>
    <row r="18" ht="18.75" customFormat="1" customHeight="1" s="18">
      <c r="A18" s="18" t="inlineStr">
        <is>
          <t>Manifest-Rebuild.ps1</t>
        </is>
      </c>
      <c r="B18" s="19" t="inlineStr">
        <is>
          <t>Rebuild the file_manifest table.</t>
        </is>
      </c>
      <c r="C18" s="12" t="inlineStr">
        <is>
          <t>Active</t>
        </is>
      </c>
    </row>
    <row r="19" ht="18.75" customFormat="1" customHeight="1" s="18">
      <c r="A19" s="18" t="inlineStr">
        <is>
          <t>Manifest-Search.ps1</t>
        </is>
      </c>
      <c r="B19" s="19" t="inlineStr">
        <is>
          <t>Search the file_manifest table.</t>
        </is>
      </c>
      <c r="C19" s="12" t="inlineStr">
        <is>
          <t>Active</t>
        </is>
      </c>
    </row>
    <row r="20" ht="18.75" customFormat="1" customHeight="1" s="18">
      <c r="A20" s="18" t="inlineStr">
        <is>
          <t>New-Word.ps1</t>
        </is>
      </c>
      <c r="B20" s="19" t="inlineStr">
        <is>
          <t>Register a new word_registry entry and run its first-pass pipeline.</t>
        </is>
      </c>
      <c r="C20" s="12" t="inlineStr">
        <is>
          <t>Active</t>
        </is>
      </c>
    </row>
    <row r="21" ht="18.75" customFormat="1" customHeight="1" s="18">
      <c r="A21" s="18" t="inlineStr">
        <is>
          <t>Operations-Ingest.ps1</t>
        </is>
      </c>
      <c r="B21" s="19" t="inlineStr">
        <is>
          <t>Ingest a debate-step payload (hib/phenomenon/operation/closing).</t>
        </is>
      </c>
      <c r="C21" s="12" t="inlineStr">
        <is>
          <t>Active</t>
        </is>
      </c>
    </row>
    <row r="22" ht="18.75" customFormat="1" customHeight="1" s="18">
      <c r="A22" s="18" t="inlineStr">
        <is>
          <t>Passage-Quality.ps1</t>
        </is>
      </c>
      <c r="B22" s="19" t="inlineStr">
        <is>
          <t>Quality-check passages, optionally scoped to a book.</t>
        </is>
      </c>
      <c r="C22" s="12" t="inlineStr">
        <is>
          <t>Active</t>
        </is>
      </c>
    </row>
    <row r="23" ht="18.75" customFormat="1" customHeight="1" s="18">
      <c r="A23" s="18" t="inlineStr">
        <is>
          <t>PathAudit.ps1</t>
        </is>
      </c>
      <c r="B23" s="19" t="inlineStr">
        <is>
          <t>Scan for hardcoded paths that should be config-driven.</t>
        </is>
      </c>
      <c r="C23" s="12" t="inlineStr">
        <is>
          <t>Active</t>
        </is>
      </c>
    </row>
    <row r="24" ht="18.75" customFormat="1" customHeight="1" s="18">
      <c r="A24" s="18" t="inlineStr">
        <is>
          <t>Prose.ps1</t>
        </is>
      </c>
      <c r="B24" s="19" t="inlineStr">
        <is>
          <t>Prose store: extract/search/export/import/flag/status the programme prose.</t>
        </is>
      </c>
      <c r="C24" s="12" t="inlineStr">
        <is>
          <t>Active</t>
        </is>
      </c>
    </row>
    <row r="25" ht="18.75" customFormat="1" customHeight="1" s="18">
      <c r="A25" s="18" t="inlineStr">
        <is>
          <t>Raw-Backfill.ps1</t>
        </is>
      </c>
      <c r="B25" s="19" t="inlineStr">
        <is>
          <t>Backfill span/strong_verse from raw span data for a book.</t>
        </is>
      </c>
      <c r="C25" s="12" t="inlineStr">
        <is>
          <t>Active</t>
        </is>
      </c>
    </row>
    <row r="26" ht="18.75" customFormat="1" customHeight="1" s="18">
      <c r="A26" s="18" t="inlineStr">
        <is>
          <t>Registry-Report.ps1</t>
        </is>
      </c>
      <c r="B26" s="19" t="inlineStr">
        <is>
          <t>word_registry overview report.</t>
        </is>
      </c>
      <c r="C26" s="12" t="inlineStr">
        <is>
          <t>Active</t>
        </is>
      </c>
    </row>
    <row r="27" ht="18.75" customFormat="1" customHeight="1" s="18">
      <c r="A27" s="18" t="inlineStr">
        <is>
          <t>Reports.ps1</t>
        </is>
      </c>
      <c r="B27" s="19" t="inlineStr">
        <is>
          <t>Word/book validation and report bundle.</t>
        </is>
      </c>
      <c r="C27" s="12" t="inlineStr">
        <is>
          <t>Active</t>
        </is>
      </c>
    </row>
    <row r="28" ht="18.75" customFormat="1" customHeight="1" s="18">
      <c r="A28" s="18" t="inlineStr">
        <is>
          <t>SchemaOverview-Report.ps1</t>
        </is>
      </c>
      <c r="B28" s="19" t="inlineStr">
        <is>
          <t>Live iba.db schema overview report.</t>
        </is>
      </c>
      <c r="C28" s="12" t="inlineStr">
        <is>
          <t>Active</t>
        </is>
      </c>
    </row>
    <row r="29" ht="18.75" customFormat="1" customHeight="1" s="18">
      <c r="A29" s="20" t="inlineStr">
        <is>
          <t>SchemaOverview-BibleResearch-Report.ps1</t>
        </is>
      </c>
      <c r="B29" s="19" t="inlineStr">
        <is>
          <t>Live bible_research.db schema overview report (merged against cfg_table/cfg_column, discrepancies flagged).</t>
        </is>
      </c>
      <c r="C29" s="21" t="inlineStr">
        <is>
          <t>Active</t>
        </is>
      </c>
    </row>
    <row r="30" ht="18.75" customFormat="1" customHeight="1" s="18">
      <c r="A30" s="18" t="inlineStr">
        <is>
          <t>SpanAnalysis-Report.ps1</t>
        </is>
      </c>
      <c r="B30" s="19" t="inlineStr">
        <is>
          <t>span table analysis report.</t>
        </is>
      </c>
      <c r="C30" s="12" t="inlineStr">
        <is>
          <t>Active</t>
        </is>
      </c>
    </row>
    <row r="31" ht="18.75" customFormat="1" customHeight="1" s="18">
      <c r="A31" s="18" t="inlineStr">
        <is>
          <t>Start-Iba.ps1</t>
        </is>
      </c>
      <c r="B31" s="19" t="inlineStr">
        <is>
          <t>Session bootstrap -- run once per session before any IBA work.</t>
        </is>
      </c>
      <c r="C31" s="11" t="inlineStr">
        <is>
          <t>n/a (not dispatcher-gated)</t>
        </is>
      </c>
    </row>
    <row r="32" ht="18.75" customFormat="1" customHeight="1" s="18">
      <c r="A32" s="18" t="inlineStr">
        <is>
          <t>StrongMeaning-Report.ps1</t>
        </is>
      </c>
      <c r="B32" s="19" t="inlineStr">
        <is>
          <t>strong_meaning_parsed/strong_lexicon coverage report.</t>
        </is>
      </c>
      <c r="C32" s="12" t="inlineStr">
        <is>
          <t>Active</t>
        </is>
      </c>
    </row>
    <row r="33" ht="18.75" customFormat="1" customHeight="1" s="18">
      <c r="A33" s="18" t="inlineStr">
        <is>
          <t>StrongVerse-Report.ps1</t>
        </is>
      </c>
      <c r="B33" s="19" t="inlineStr">
        <is>
          <t>Report a word's strong&lt;-&gt;verse coverage.</t>
        </is>
      </c>
      <c r="C33" s="12" t="inlineStr">
        <is>
          <t>Active</t>
        </is>
      </c>
    </row>
    <row r="34" ht="18.75" customFormat="1" customHeight="1" s="18">
      <c r="A34" s="18" t="inlineStr">
        <is>
          <t>VerseLexical.ps1</t>
        </is>
      </c>
      <c r="B34" s="19" t="inlineStr">
        <is>
          <t>Run verse_lexical (L4b) derivation for a book/chapter range.</t>
        </is>
      </c>
      <c r="C34" s="12" t="inlineStr">
        <is>
          <t>Active</t>
        </is>
      </c>
    </row>
    <row r="35" ht="18.75" customFormat="1" customHeight="1" s="18">
      <c r="A35" s="18" t="inlineStr">
        <is>
          <t>WholeBookRead-Report.ps1</t>
        </is>
      </c>
      <c r="B35" s="19" t="inlineStr">
        <is>
          <t>Whole-book-read report for a book.</t>
        </is>
      </c>
      <c r="C35" s="12" t="inlineStr">
        <is>
          <t>Active</t>
        </is>
      </c>
    </row>
    <row r="36" ht="18.75" customFormat="1" customHeight="1" s="18">
      <c r="A36" s="20" t="inlineStr">
        <is>
          <t>Catalogue-Report.ps1</t>
        </is>
      </c>
      <c r="B36" s="19" t="inlineStr">
        <is>
          <t>Structural review of wa_obs_question_catalogue (bible_research.db) -- no findings/joins. Read-only.</t>
        </is>
      </c>
      <c r="C36" s="21" t="inlineStr">
        <is>
          <t>Active</t>
        </is>
      </c>
    </row>
    <row r="37" ht="18.75" customFormat="1" customHeight="1" s="18">
      <c r="A37" t="inlineStr">
        <is>
          <t>Catalogue-Update.ps1</t>
        </is>
      </c>
      <c r="B37" t="inlineStr">
        <is>
          <t>Validated partial UPDATE of one wa_obs_question_catalogue row by obs_id (source/last_modified/etc.). No history table.</t>
        </is>
      </c>
      <c r="C37" t="inlineStr">
        <is>
          <t>Active</t>
        </is>
      </c>
    </row>
    <row r="38" ht="18.75" customFormat="1" customHeight="1" s="18">
      <c r="A38" t="inlineStr">
        <is>
          <t>Spine-Check.ps1</t>
        </is>
      </c>
      <c r="B38" t="inlineStr">
        <is>
          <t>The base-data spine check — verse/span/strong sync (FATAL per governance.base_data_spine, escalation #1613, researcher ruling 2026-09-10). Standalone, single-step work package, like Lexicon-Parse.ps1/Candidate-Quality.ps1. The strong-extended-meaning</t>
        </is>
      </c>
      <c r="C38" t="inlineStr">
        <is>
          <t>Active</t>
        </is>
      </c>
    </row>
    <row r="39" ht="18.75" customFormat="1" customHeight="1" s="18">
      <c r="A39" t="inlineStr">
        <is>
          <t>BatchProgress.ps1</t>
        </is>
      </c>
      <c r="B39" t="inlineStr">
        <is>
          <t>Live progress monitor over run_batch -- resume/skip/crash-safeguard mechanism (#1756).</t>
        </is>
      </c>
      <c r="C39" t="inlineStr">
        <is>
          <t>Active</t>
        </is>
      </c>
    </row>
    <row r="40" ht="18.75" customFormat="1" customHeight="1" s="18">
      <c r="A40" t="inlineStr">
        <is>
          <t>CharAnswer.ps1</t>
        </is>
      </c>
      <c r="B40" t="inlineStr">
        <is>
          <t>Stage 4 (char-answers) -- answer battery for one subgroup.</t>
        </is>
      </c>
      <c r="C40" t="inlineStr">
        <is>
          <t>Active</t>
        </is>
      </c>
    </row>
    <row r="41" ht="18.75" customFormat="1" customHeight="1" s="18">
      <c r="A41" t="inlineStr">
        <is>
          <t>CharReading.ps1</t>
        </is>
      </c>
      <c r="B41" t="inlineStr">
        <is>
          <t>Stage 3 (char-reading) -- corpus-wide subgroup reading.</t>
        </is>
      </c>
      <c r="C41" t="inlineStr">
        <is>
          <t>Active</t>
        </is>
      </c>
    </row>
    <row r="42" ht="18.75" customFormat="1" customHeight="1" s="18">
      <c r="A42" t="inlineStr">
        <is>
          <t>ClusterSubgroup.ps1</t>
        </is>
      </c>
      <c r="B42" t="inlineStr">
        <is>
          <t>Stage 2 (char-subgroup) -- group cluster strongs into subgroups.</t>
        </is>
      </c>
      <c r="C42" t="inlineStr">
        <is>
          <t>Active</t>
        </is>
      </c>
    </row>
    <row r="43" ht="18.75" customFormat="1" customHeight="1" s="18">
      <c r="A43" t="inlineStr">
        <is>
          <t>Lexical-Readiness.ps1</t>
        </is>
      </c>
      <c r="B43" t="inlineStr">
        <is>
          <t>Lexical readiness check.</t>
        </is>
      </c>
      <c r="C43" t="inlineStr">
        <is>
          <t>Active</t>
        </is>
      </c>
    </row>
    <row r="44" ht="18.75" customFormat="1" customHeight="1" s="18">
      <c r="A44" t="inlineStr">
        <is>
          <t>VerseMeta.ps1</t>
        </is>
      </c>
      <c r="B44" t="inlineStr">
        <is>
          <t>Verse-level metadata operations.</t>
        </is>
      </c>
      <c r="C44" t="inlineStr">
        <is>
          <t>Active</t>
        </is>
      </c>
    </row>
    <row r="45" ht="18.75" customFormat="1" customHeight="1" s="18">
      <c r="A45" t="inlineStr">
        <is>
          <t>VerseReading.ps1</t>
        </is>
      </c>
      <c r="B45" t="inlineStr">
        <is>
          <t>The `verse-reading` stage's WORD-LEVEL half (`lexical.meaning`, escalation #1706 Phase C pipeline stage 1; narrowed to word-level-only by the #1860 split, 2026-09-23) -- per-cluster, pre-subgroup Layer 2 pass answering M0.1 (Name and Naming) + M0.5 (</t>
        </is>
      </c>
      <c r="C45" t="inlineStr">
        <is>
          <t>Active</t>
        </is>
      </c>
    </row>
    <row r="46" ht="18.75" customFormat="1" customHeight="1" s="18">
      <c r="A46" t="inlineStr">
        <is>
          <t>Purge-SoftDeletes.ps1</t>
        </is>
      </c>
      <c r="B46" t="inlineStr">
        <is>
          <t>The soft-delete purge audit + execute + database retirement -- app-wide, both databases (escalation #1766/#1868/#1872/#1873). Standalone work package (chained=0 -- each action is an independent step you invoke separately, not a pipeline).</t>
        </is>
      </c>
      <c r="C46" t="inlineStr">
        <is>
          <t>Active</t>
        </is>
      </c>
    </row>
    <row r="47" ht="18.75" customFormat="1" customHeight="1" s="18">
      <c r="A47" s="23" t="inlineStr">
        <is>
          <t>Observation-Enhancer.ps1</t>
        </is>
      </c>
      <c r="B47" s="23" t="inlineStr">
        <is>
          <t>Apply a researcher-confirmed rule (selector+update) to ib_observation; logs every change (escalation #1778).</t>
        </is>
      </c>
      <c r="C47" s="23" t="inlineStr">
        <is>
          <t>Active</t>
        </is>
      </c>
    </row>
    <row r="48" ht="18.75" customFormat="1" customHeight="1" s="18">
      <c r="A48" s="23" t="inlineStr">
        <is>
          <t>Session-Close.ps1</t>
        </is>
      </c>
      <c r="B48" s="23" t="inlineStr">
        <is>
          <t>Session-close detection (escalation #1875; rebuilt #2173, SC1-SC14): session and window, spine (FATAL first), researcher's words recorded, open items in the register, analysis integrity, rule compliance evidence, session log, decisions' targets, BUIL</t>
        </is>
      </c>
      <c r="C48" s="23" t="inlineStr">
        <is>
          <t>Active</t>
        </is>
      </c>
    </row>
    <row r="49" ht="18.75" customFormat="1" customHeight="1" s="18">
      <c r="A49" t="inlineStr">
        <is>
          <t>Narrative-Register.ps1</t>
        </is>
      </c>
      <c r="B49" t="inlineStr">
        <is>
          <t>The narrative claim register in iba.db (escalation #2110): add and edit claims, link them to the blocks that tell them, search, show a claim's history, check the chapters against the database, and publish the three register files. The narrative itself is written through Strand-Reading.ps1 -Step Rewrite (#2172). Every action dispatches through run.py, work package narrative-register.</t>
        </is>
      </c>
      <c r="C49" t="inlineStr">
        <is>
          <t>Active</t>
        </is>
      </c>
    </row>
    <row r="50" ht="18.75" customFormat="1" customHeight="1" s="18">
      <c r="A50" t="inlineStr">
        <is>
          <t>Compliance.ps1</t>
        </is>
      </c>
      <c r="B50" t="inlineStr">
        <is>
          <t>The session compliance file (escalation #2173 P2): the governance settings, behaviour rules and escalation rules, restated at start and proved at close.</t>
        </is>
      </c>
      <c r="C50" t="inlineStr">
        <is>
          <t>Active</t>
        </is>
      </c>
    </row>
    <row r="51" ht="18.75" customFormat="1" customHeight="1" s="18">
      <c r="A51" t="inlineStr">
        <is>
          <t>Copy-NarrativeToLearning4Comfort.ps1</t>
        </is>
      </c>
      <c r="B51" t="inlineStr">
        <is>
          <t>Copy the current inner-being narrative files to the learning4comfort publication inbox (escalation #1941). This project never publishes to GitHub itself; the learning4comfort repo prepares, reviews and publishes from its inbox.</t>
        </is>
      </c>
      <c r="C51" t="inlineStr">
        <is>
          <t>Active</t>
        </is>
      </c>
    </row>
    <row r="52" ht="18.75" customFormat="1" customHeight="1" s="18">
      <c r="A52" t="inlineStr">
        <is>
          <t>RelationalReading.ps1</t>
        </is>
      </c>
      <c r="B52" t="inlineStr">
        <is>
          <t>The `verse-reading` stage's RELATIONAL half (`lexical.relational`, escalation #1860 word-level/ relational split, 2026-09-23) -- per-cluster, pre-subgroup Layer 2 pass answering M0.6.5/M0.6.6/ D7.7.1/M0.7.1-16/M0.8.1. Standalone single-step entry poi</t>
        </is>
      </c>
      <c r="C52" t="inlineStr">
        <is>
          <t>Active</t>
        </is>
      </c>
    </row>
    <row r="53">
      <c r="A53" t="inlineStr">
        <is>
          <t>Run-Stage1Batch.ps1</t>
        </is>
      </c>
      <c r="B53" t="inlineStr">
        <is>
          <t xml:space="preserve">Batch controller for `lexical.meaning` (Stage 1 verse-reading) -- runs an explicit list of clusters sequentially, unattended, so a multi-cluster pass can run in the background while progress is watched separately with `BatchProgress.ps1` (escalation </t>
        </is>
      </c>
      <c r="C53" t="inlineStr">
        <is>
          <t>Active</t>
        </is>
      </c>
    </row>
    <row r="54">
      <c r="A54" t="inlineStr">
        <is>
          <t>Strand-Reading.ps1</t>
        </is>
      </c>
      <c r="B54" t="inlineStr">
        <is>
          <t>The reading process (escalation #2172): a strand defined, then context, record, gather, map, derive, rewrite and account. Every step dispatches through run.py, work package strand-reading; the JSON shapes are in lib/strandreading.py.</t>
        </is>
      </c>
      <c r="C54" t="inlineStr">
        <is>
          <t>Retired 2026-10-23 (#2228 D-a): superseded by Reading.ps1</t>
        </is>
      </c>
    </row>
    <row r="55">
      <c r="A55" t="inlineStr">
        <is>
          <t>Verse-Scope.ps1</t>
        </is>
      </c>
      <c r="B55" t="inlineStr">
        <is>
          <t>The scope resolver (escalation #2228): any request -&gt; the collection of verses as a JSON file under verse_scope.output_dir. Selectors are combined as a union; a bare Strong's code is decomposed to its derivatives; -OnlyStrong narrows the result. Reads only; dispatches through run.py, work package verse-scope.</t>
        </is>
      </c>
      <c r="C55" t="inlineStr">
        <is>
          <t>Active</t>
        </is>
      </c>
    </row>
    <row r="56">
      <c r="A56" t="inlineStr">
        <is>
          <t>Reading-Index.ps1</t>
        </is>
      </c>
      <c r="B56" t="inlineStr">
        <is>
          <t>The cluster reading index (escalation #2228): Build reads the study files under reading_index.roots (only _analytics/Clusters) and records every verse reference with its file, section and line (reading_file, reading_section, reading_ref), incremental and time-guarded; Report writes the coverage report. Dispatches through run.py, work package reading-index.</t>
        </is>
      </c>
      <c r="C56" t="inlineStr">
        <is>
          <t>Active</t>
        </is>
      </c>
    </row>
    <row r="57">
      <c r="A57" t="inlineStr">
        <is>
          <t>Verse-Collate.ps1</t>
        </is>
      </c>
      <c r="B57" t="inlineStr">
        <is>
          <t>What is known and what is missing for a scope (escalation #2228): the scope resolved as Verse-Scope.ps1 does (same selectors, same guard), then per verse the observations, strand hits, claims, narrative blocks, open items and cluster-file lines, the lexicon per strong, and the gaps; -&gt; verse_collate.output_dir &lt;label&gt;.json and .md. Reads only; dispatches through run.py, work package verse-collate.</t>
        </is>
      </c>
      <c r="C57" t="inlineStr">
        <is>
          <t>Active</t>
        </is>
      </c>
    </row>
    <row r="58">
      <c r="A58" t="inlineStr">
        <is>
          <t>Open-Item.ps1</t>
        </is>
      </c>
      <c r="B58" t="inlineStr">
        <is>
          <t>Register open items to a clear purpose (escalation #2236): Add, Reword, Split (a target scoped to verses, at most open_item.max_verses; what to read for, why it is open, when it comes back), Due (items that come back when a cluster is worked), Review (stragglers). Dispatches through run.py, work package open-item.</t>
        </is>
      </c>
      <c r="C58" t="inlineStr">
        <is>
          <t>Active</t>
        </is>
      </c>
    </row>
    <row r="59">
      <c r="A59" t="inlineStr">
        <is>
          <t>Reading.ps1</t>
        </is>
      </c>
      <c r="B59" t="inlineStr">
        <is>
          <t>The reading process (escalation #2228): a reading of one scope through three gates. Open (scope, collation, gap JSON), Record and Check (gate 1: every gap recorded or a reason; verses marked analysed), Synergy, Apply and Check (gate 2: from the tables -- claims, dispositions, tellings, blocks, open items settled), Publish (gate 3: chapters published and copied to learning4comfort), Account. Dispatches through run.py, work package reading.</t>
        </is>
      </c>
      <c r="C59" t="inlineStr">
        <is>
          <t>Active</t>
        </is>
      </c>
    </row>
  </sheetData>
  <mergeCells count="1"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Behaviour.ps1</t>
        </is>
      </c>
    </row>
    <row r="2" ht="18.75" customFormat="1" customHeight="1" s="18">
      <c r="A2" s="17" t="inlineStr">
        <is>
          <t>List behaviour rules (cfg_behaviour_class/cfg_behaviour_rule).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-Action</t>
        </is>
      </c>
      <c r="D4" s="4" t="inlineStr">
        <is>
          <t>-Class</t>
        </is>
      </c>
    </row>
    <row r="5" ht="18.75" customFormat="1" customHeight="1" s="18">
      <c r="C5" s="17" t="inlineStr">
        <is>
          <t>List</t>
        </is>
      </c>
      <c r="D5" s="17" t="inlineStr">
        <is>
          <t>chat|terminal|sqlite|documentation|llm_output|development</t>
        </is>
      </c>
    </row>
    <row r="6" ht="18.75" customFormat="1" customHeight="1" s="18">
      <c r="A6" s="18" t="inlineStr">
        <is>
          <t>iba\app\ps\Behaviour.ps1</t>
        </is>
      </c>
      <c r="B6" s="5">
        <f>A6&amp;" "&amp;IF(C6="","",$C$4&amp;" "&amp;C6&amp;" ")&amp;IF(D6="","",$D$4&amp;" "&amp;D6&amp;" ")</f>
        <v/>
      </c>
    </row>
  </sheetData>
  <mergeCells count="1"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G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7"/>
    <col width="11.4" customWidth="1" min="8" max="8"/>
    <col width="11.4" customWidth="1" min="9" max="9"/>
  </cols>
  <sheetData>
    <row r="1" ht="18.75" customHeight="1">
      <c r="A1" s="1" t="inlineStr">
        <is>
          <t>Build-Passages.ps1</t>
        </is>
      </c>
    </row>
    <row r="2" ht="18.75" customFormat="1" customHeight="1" s="18">
      <c r="A2" s="17" t="inlineStr">
        <is>
          <t>Build passage rows from a payload.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-Chapters</t>
        </is>
      </c>
      <c r="E4" s="4" t="inlineStr">
        <is>
          <t>-Range</t>
        </is>
      </c>
      <c r="F4" s="4" t="inlineStr">
        <is>
          <t>-PayloadPath</t>
        </is>
      </c>
      <c r="G4" s="4" t="inlineStr">
        <is>
          <t>-Trace</t>
        </is>
      </c>
    </row>
    <row r="5" ht="18.75" customFormat="1" customHeight="1" s="18">
      <c r="F5" s="17" t="inlineStr">
        <is>
          <t>path to the payload JSON</t>
        </is>
      </c>
    </row>
    <row r="6" ht="18.75" customFormat="1" customHeight="1" s="18">
      <c r="A6" s="18" t="inlineStr">
        <is>
          <t>iba\app\ps\Build-Passages.ps1</t>
        </is>
      </c>
      <c r="B6" s="5">
        <f>A6&amp;" "&amp;IF(C6="","",$C$4&amp;" '"&amp;C6&amp;"' ")&amp;IF(D6="","",$D$4&amp;" '"&amp;D6&amp;"' ")&amp;IF(E6="","",$E$4&amp;" '"&amp;E6&amp;"' ")&amp;IF(F6="","",$F$4&amp;" '"&amp;F6&amp;"' ")&amp;IF(G6&lt;&gt;"",$G$4&amp;" ","")</f>
        <v/>
      </c>
    </row>
  </sheetData>
  <mergeCells count="1"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E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5"/>
  </cols>
  <sheetData>
    <row r="1" ht="18.75" customHeight="1">
      <c r="A1" s="1" t="inlineStr">
        <is>
          <t>Cluster-Assign.ps1</t>
        </is>
      </c>
    </row>
    <row r="2" ht="18.75" customFormat="1" customHeight="1" s="18">
      <c r="A2" s="17" t="inlineStr">
        <is>
          <t>Assign strongs to M-code clusters / validate assignment.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-Step</t>
        </is>
      </c>
      <c r="D4" s="4" t="inlineStr">
        <is>
          <t>-RunId</t>
        </is>
      </c>
      <c r="E4" s="4" t="inlineStr">
        <is>
          <t>-Trace</t>
        </is>
      </c>
    </row>
    <row r="5" ht="18.75" customFormat="1" customHeight="1" s="18">
      <c r="C5" s="17" t="inlineStr">
        <is>
          <t>Assign|Validate</t>
        </is>
      </c>
    </row>
    <row r="6" ht="18.75" customFormat="1" customHeight="1" s="18">
      <c r="A6" s="18" t="inlineStr">
        <is>
          <t>iba\app\ps\Cluster-Assign.ps1</t>
        </is>
      </c>
      <c r="B6" s="5">
        <f>A6&amp;" "&amp;IF(C6="","",$C$4&amp;" "&amp;C6&amp;" ")&amp;IF(D6="","",$D$4&amp;" '"&amp;D6&amp;"' ")&amp;IF(E6&lt;&gt;"",$E$4&amp;" ","")</f>
        <v/>
      </c>
    </row>
  </sheetData>
  <mergeCells count="1">
    <mergeCell ref="A2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Cluster-Report.ps1</t>
        </is>
      </c>
    </row>
    <row r="2" ht="18.75" customFormat="1" customHeight="1" s="18">
      <c r="A2" s="17" t="inlineStr">
        <is>
          <t>Cluster overview report.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iba\app\ps\Cluster-Report.ps1</t>
        </is>
      </c>
      <c r="B6" s="5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K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10"/>
    <col width="13" customWidth="1" min="7" max="7"/>
    <col width="13" customWidth="1" min="8" max="8"/>
  </cols>
  <sheetData>
    <row r="1" ht="18.75" customHeight="1">
      <c r="A1" s="1" t="inlineStr">
        <is>
          <t>Config-Maintenance.ps1</t>
        </is>
      </c>
    </row>
    <row r="2" ht="18.75" customFormat="1" customHeight="1" s="18">
      <c r="A2" s="17" t="inlineStr">
        <is>
          <t>THE sanctioned path for changing a cfg_* row.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-Step</t>
        </is>
      </c>
      <c r="D4" s="4" t="inlineStr">
        <is>
          <t>-Table</t>
        </is>
      </c>
      <c r="E4" s="4" t="inlineStr">
        <is>
          <t>-Op</t>
        </is>
      </c>
      <c r="F4" s="4" t="inlineStr">
        <is>
          <t>-Where</t>
        </is>
      </c>
      <c r="G4" s="4" t="inlineStr">
        <is>
          <t>-Set</t>
        </is>
      </c>
      <c r="H4" s="22" t="inlineStr">
        <is>
          <t>-Title</t>
        </is>
      </c>
      <c r="I4" s="4" t="inlineStr">
        <is>
          <t>-Question</t>
        </is>
      </c>
      <c r="J4" s="4" t="inlineStr">
        <is>
          <t>-RunId</t>
        </is>
      </c>
      <c r="K4" s="4" t="inlineStr">
        <is>
          <t>-Trace</t>
        </is>
      </c>
    </row>
    <row r="5" ht="18.75" customFormat="1" customHeight="1" s="18">
      <c r="C5" s="17" t="inlineStr">
        <is>
          <t>Validate|Propose|Report</t>
        </is>
      </c>
      <c r="D5" s="17" t="inlineStr">
        <is>
          <t>Propose: the cfg_* table, e.g. cfg_setting</t>
        </is>
      </c>
      <c r="E5" s="17" t="inlineStr">
        <is>
          <t>insert|update|delete</t>
        </is>
      </c>
      <c r="F5" s="17" t="inlineStr">
        <is>
          <t>Propose: JSON row-identifier, e.g. {"key":"passage.review_over"}</t>
        </is>
      </c>
      <c r="G5" s="17" t="inlineStr">
        <is>
          <t>Propose: JSON of new values, e.g. {"value":"12"}</t>
        </is>
      </c>
      <c r="H5" t="inlineStr">
        <is>
          <t>Propose: a short human label for the proposal</t>
        </is>
      </c>
      <c r="I5" s="17" t="inlineStr">
        <is>
          <t>Propose: representative description shown to the researcher</t>
        </is>
      </c>
      <c r="J5" s="17" t="inlineStr">
        <is>
          <t>resume a specific paused proposal</t>
        </is>
      </c>
    </row>
    <row r="6" ht="18.75" customFormat="1" customHeight="1" s="18">
      <c r="A6" s="18" t="inlineStr">
        <is>
          <t>iba\app\ps\Config-Maintenance.ps1</t>
        </is>
      </c>
      <c r="B6" s="23">
        <f>A6&amp;" "&amp;IF(C6="","",$C$4&amp;" "&amp;C6&amp;" ")&amp;IF(D6="","",$D$4&amp;" '"&amp;D6&amp;"' ")&amp;IF(E6="","",$E$4&amp;" "&amp;E6&amp;" ")&amp;IF(F6="","",$F$4&amp;" '"&amp;F6&amp;"' ")&amp;IF(G6="","",$G$4&amp;" '"&amp;G6&amp;"' ")&amp;IF(H6="","",$H$4&amp;" '"&amp;H6&amp;"' ")&amp;IF(I6="","",$I$4&amp;" '"&amp;I6&amp;"' ")&amp;IF(J6="","",$J$4&amp;" '"&amp;J6&amp;"' ")&amp;IF(K6&lt;&gt;"",$K$4&amp;" ","")</f>
        <v/>
      </c>
    </row>
  </sheetData>
  <mergeCells count="1">
    <mergeCell ref="A2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F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ContentIndex-Search.ps1</t>
        </is>
      </c>
    </row>
    <row r="2" ht="18.75" customFormat="1" customHeight="1" s="18">
      <c r="A2" s="17" t="inlineStr">
        <is>
          <t>Query the content search index.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-Query</t>
        </is>
      </c>
      <c r="D4" s="4" t="inlineStr">
        <is>
          <t>-Csv</t>
        </is>
      </c>
      <c r="E4" s="4" t="inlineStr">
        <is>
          <t>-RunId</t>
        </is>
      </c>
      <c r="F4" s="4" t="inlineStr">
        <is>
          <t>-Trace</t>
        </is>
      </c>
    </row>
    <row r="5" ht="18.75" customFormat="1" customHeight="1" s="18">
      <c r="D5" s="17" t="inlineStr">
        <is>
          <t>output as CSV</t>
        </is>
      </c>
    </row>
    <row r="6" ht="18.75" customFormat="1" customHeight="1" s="18">
      <c r="A6" s="18" t="inlineStr">
        <is>
          <t>iba\app\ps\ContentIndex-Search.ps1</t>
        </is>
      </c>
      <c r="B6" s="5">
        <f>A6&amp;" "&amp;IF(C6="","",$C$4&amp;" '"&amp;C6&amp;"' ")&amp;IF(D6&lt;&gt;"",$D$4&amp;" ","")&amp;IF(E6="","",$E$4&amp;" '"&amp;E6&amp;"' ")&amp;IF(F6&lt;&gt;"",$F$4&amp;"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ContentIndex-SizeProfile.ps1</t>
        </is>
      </c>
    </row>
    <row r="2" ht="18.75" customFormat="1" customHeight="1" s="18">
      <c r="A2" s="17" t="inlineStr">
        <is>
          <t>Size-profile the content index.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iba\app\ps\ContentIndex-SizeProfile.ps1</t>
        </is>
      </c>
      <c r="B6" s="5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I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9"/>
  </cols>
  <sheetData>
    <row r="1" ht="18.75" customHeight="1">
      <c r="A1" s="1" t="inlineStr">
        <is>
          <t>Debate-Run.ps1</t>
        </is>
      </c>
    </row>
    <row r="2" ht="18.75" customFormat="1" customHeight="1" s="18">
      <c r="A2" s="17" t="inlineStr">
        <is>
          <t>The debate pipeline (HIB/phenomenon/operation/closing) for a book.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-Chapters</t>
        </is>
      </c>
      <c r="E4" s="4" t="inlineStr">
        <is>
          <t>-Range</t>
        </is>
      </c>
      <c r="F4" s="4" t="inlineStr">
        <is>
          <t>-BookLabel</t>
        </is>
      </c>
      <c r="G4" s="4" t="inlineStr">
        <is>
          <t>-Step</t>
        </is>
      </c>
      <c r="H4" s="4" t="inlineStr">
        <is>
          <t>-RunId</t>
        </is>
      </c>
      <c r="I4" s="4" t="inlineStr">
        <is>
          <t>-Trace</t>
        </is>
      </c>
    </row>
    <row r="5" ht="18.75" customFormat="1" customHeight="1" s="18">
      <c r="G5" s="17" t="inlineStr">
        <is>
          <t>hib.set|passage.build|phenomenon.set|operation.set|closing.set</t>
        </is>
      </c>
      <c r="H5" s="17" t="inlineStr">
        <is>
          <t>resume a specific run</t>
        </is>
      </c>
    </row>
    <row r="6" ht="18.75" customFormat="1" customHeight="1" s="18">
      <c r="A6" s="18" t="inlineStr">
        <is>
          <t>iba\app\ps\Debate-Run.ps1</t>
        </is>
      </c>
      <c r="B6" s="5">
        <f>A6&amp;" "&amp;IF(C6="","",$C$4&amp;" '"&amp;C6&amp;"' ")&amp;IF(D6="","",$D$4&amp;" '"&amp;D6&amp;"' ")&amp;IF(E6="","",$E$4&amp;" '"&amp;E6&amp;"' ")&amp;IF(F6="","",$F$4&amp;" '"&amp;F6&amp;"' ")&amp;IF(G6="","",$G$4&amp;" "&amp;G6&amp;" ")&amp;IF(H6="","",$H$4&amp;" '"&amp;H6&amp;"' ")&amp;IF(I6&lt;&gt;"",$I$4&amp;" ","")</f>
        <v/>
      </c>
    </row>
  </sheetData>
  <mergeCells count="1">
    <mergeCell ref="A2:I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/>
    <pageSetUpPr/>
  </sheetPr>
  <dimension ref="A1:F2"/>
  <sheetViews>
    <sheetView workbookViewId="0">
      <selection activeCell="A1" sqref="A1"/>
    </sheetView>
  </sheetViews>
  <sheetFormatPr baseColWidth="8" defaultRowHeight="15"/>
  <cols>
    <col width="34" bestFit="1" customWidth="1" style="18" min="1" max="1"/>
    <col width="13.5703125" bestFit="1" customWidth="1" min="2" max="6"/>
  </cols>
  <sheetData>
    <row r="1" ht="18.75" customHeight="1">
      <c r="A1" s="7" t="inlineStr">
        <is>
          <t>Escalation.ps1</t>
        </is>
      </c>
    </row>
    <row r="2" ht="18.75" customFormat="1" customHeight="1" s="18">
      <c r="A2" s="19" t="inlineStr">
        <is>
          <t>See the researcher's own 'escalation actions worksheet.xlsx' -- that sheet already covers this script in full (Raise/Update/AnswerRun/etc) and is the model this whole workbook is based on. Not duplicated here.</t>
        </is>
      </c>
    </row>
  </sheetData>
  <mergeCells count="1">
    <mergeCell ref="A2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/>
    <pageSetUpPr/>
  </sheetPr>
  <dimension ref="A1:G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  <col width="13.5703125" bestFit="1" customWidth="1" min="7" max="7"/>
  </cols>
  <sheetData>
    <row r="1" ht="18.75" customHeight="1">
      <c r="A1" s="1" t="inlineStr">
        <is>
          <t>Export-Tables.ps1</t>
        </is>
      </c>
    </row>
    <row r="2" ht="18.75" customFormat="1" customHeight="1" s="18">
      <c r="A2" s="17" t="inlineStr">
        <is>
          <t>Export one or more cfg_*/data tables to CSV.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-Out</t>
        </is>
      </c>
      <c r="D4" s="4" t="inlineStr">
        <is>
          <t>-Table</t>
        </is>
      </c>
      <c r="E4" s="4" t="inlineStr">
        <is>
          <t>-RunId</t>
        </is>
      </c>
      <c r="F4" s="4" t="inlineStr">
        <is>
          <t>-Trace</t>
        </is>
      </c>
      <c r="G4" t="inlineStr">
        <is>
          <t>-Database</t>
        </is>
      </c>
    </row>
    <row r="5" ht="18.75" customFormat="1" customHeight="1" s="18">
      <c r="C5" s="17" t="inlineStr">
        <is>
          <t>output directory override</t>
        </is>
      </c>
      <c r="D5" s="17" t="inlineStr">
        <is>
          <t>one or more table names, comma-separated -- repeat flag manually if needed</t>
        </is>
      </c>
      <c r="G5" s="18" t="inlineStr">
        <is>
          <t>registered project database (default: iba) -- e.g. bible_research</t>
        </is>
      </c>
    </row>
    <row r="6" ht="18.75" customFormat="1" customHeight="1" s="18">
      <c r="A6" s="18" t="inlineStr">
        <is>
          <t>iba\app\ps\Export-Tables.ps1</t>
        </is>
      </c>
      <c r="B6" s="5">
        <f>A6&amp;" "&amp;IF(C6="","",$C$4&amp;" '"&amp;C6&amp;"' ")&amp;IF(D6="","",$D$4&amp;" '"&amp;D6&amp;"' ")&amp;IF(G6="","",$G$4&amp;" "&amp;G6&amp;" ")&amp;IF(E6="","",$E$4&amp;" '"&amp;E6&amp;"' ")&amp;IF(F6&lt;&gt;"",$F$4&amp;"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/>
    <pageSetUpPr/>
  </sheetPr>
  <dimension ref="A1:J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10"/>
  </cols>
  <sheetData>
    <row r="1" ht="18.75" customHeight="1">
      <c r="A1" s="1" t="inlineStr">
        <is>
          <t>FolderPurpose.ps1</t>
        </is>
      </c>
    </row>
    <row r="2" ht="18.75" customFormat="1" customHeight="1" s="18">
      <c r="A2" s="17" t="inlineStr">
        <is>
          <t>The folder_purpose governance mechanism (Methods A-D).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-Action</t>
        </is>
      </c>
      <c r="D4" s="4" t="inlineStr">
        <is>
          <t>-FolderPath</t>
        </is>
      </c>
      <c r="E4" s="4" t="inlineStr">
        <is>
          <t>-Type</t>
        </is>
      </c>
      <c r="F4" s="4" t="inlineStr">
        <is>
          <t>-Status</t>
        </is>
      </c>
      <c r="G4" s="4" t="inlineStr">
        <is>
          <t>-UsageDescription</t>
        </is>
      </c>
      <c r="H4" s="4" t="inlineStr">
        <is>
          <t>-TopLevelRoot</t>
        </is>
      </c>
      <c r="I4" s="4" t="inlineStr">
        <is>
          <t>-RunId</t>
        </is>
      </c>
      <c r="J4" s="4" t="inlineStr">
        <is>
          <t>-Trace</t>
        </is>
      </c>
    </row>
    <row r="5" ht="18.75" customFormat="1" customHeight="1" s="18">
      <c r="C5" s="17" t="inlineStr">
        <is>
          <t>Seed|CrossCheck|AutoAssess|Set|List|Show</t>
        </is>
      </c>
      <c r="D5" s="17" t="inlineStr">
        <is>
          <t>project-root-relative path</t>
        </is>
      </c>
      <c r="E5" s="17" t="inlineStr">
        <is>
          <t>archive|operations|results</t>
        </is>
      </c>
      <c r="F5" s="17" t="inlineStr">
        <is>
          <t>authoritative|mixed|reallocate|stale|deleted</t>
        </is>
      </c>
    </row>
    <row r="6" ht="18.75" customFormat="1" customHeight="1" s="18">
      <c r="A6" s="18" t="inlineStr">
        <is>
          <t>iba\app\ps\FolderPurpose.ps1</t>
        </is>
      </c>
      <c r="B6" s="5">
        <f>A6&amp;" "&amp;IF(C6="","",$C$4&amp;" "&amp;C6&amp;" ")&amp;IF(D6="","",$D$4&amp;" '"&amp;D6&amp;"' ")&amp;IF(E6="","",$E$4&amp;" "&amp;E6&amp;" ")&amp;IF(F6="","",$F$4&amp;" "&amp;F6&amp;" ")&amp;IF(G6="","",$G$4&amp;" '"&amp;G6&amp;"' ")&amp;IF(H6="","",$H$4&amp;" '"&amp;H6&amp;"' ")&amp;IF(I6="","",$I$4&amp;" '"&amp;I6&amp;"' ")&amp;IF(J6&lt;&gt;"",$J$4&amp;" ","")</f>
        <v/>
      </c>
    </row>
  </sheetData>
  <mergeCells count="1">
    <mergeCell ref="A2:J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/>
    <pageSetUpPr/>
  </sheetPr>
  <dimension ref="A1:E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5"/>
  </cols>
  <sheetData>
    <row r="1" ht="18.75" customHeight="1">
      <c r="A1" s="1" t="inlineStr">
        <is>
          <t>Lexicon-Parse.ps1</t>
        </is>
      </c>
    </row>
    <row r="2" ht="18.75" customFormat="1" customHeight="1" s="18">
      <c r="A2" s="17" t="inlineStr">
        <is>
          <t>Parse strong_lexicon / related-word data.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-Step</t>
        </is>
      </c>
      <c r="D4" s="4" t="inlineStr">
        <is>
          <t>-RunId</t>
        </is>
      </c>
      <c r="E4" s="4" t="inlineStr">
        <is>
          <t>-Trace</t>
        </is>
      </c>
    </row>
    <row r="5" ht="18.75" customFormat="1" customHeight="1" s="18">
      <c r="C5" s="17" t="inlineStr">
        <is>
          <t>Parse|Related|Validate</t>
        </is>
      </c>
    </row>
    <row r="6" ht="18.75" customFormat="1" customHeight="1" s="18">
      <c r="A6" s="18" t="inlineStr">
        <is>
          <t>iba\app\ps\Lexicon-Parse.ps1</t>
        </is>
      </c>
      <c r="B6" s="5">
        <f>A6&amp;" "&amp;IF(C6="","",$C$4&amp;" "&amp;C6&amp;" ")&amp;IF(D6="","",$D$4&amp;" '"&amp;D6&amp;"' ")&amp;IF(E6&lt;&gt;"",$E$4&amp;" ","")</f>
        <v/>
      </c>
    </row>
  </sheetData>
  <mergeCells count="1">
    <mergeCell ref="A2:E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24" t="inlineStr">
        <is>
          <t>Spine-Check.ps1</t>
        </is>
      </c>
    </row>
    <row r="2" ht="18.75" customFormat="1" customHeight="1" s="18">
      <c r="A2" t="inlineStr">
        <is>
          <t>The base-data spine check — verse/span/strong sync (FATAL per governance.base_data_spine, escalation #1613, researcher ruling 2026-09-10). Standalone, single-step work package, like Lexicon-Parse.ps1/Candidate-Quality.ps1. The strong-extended-meaning-parse completeness check + its discoverability pass were REMOVED 2026-09-11 (escalation #1681/#1684/#1686) — they checked coverage against strong_meaning_parsed/strong_lsj_parsed/strong_mounce_parsed, which were retired/frozen on 2026-09-10 and are no longer maintained. See handlers/spine.py module docstring.</t>
        </is>
      </c>
    </row>
    <row r="3" ht="18.75" customHeight="1"/>
    <row r="4" ht="18.75" customHeight="1">
      <c r="A4" s="25" t="inlineStr">
        <is>
          <t>script</t>
        </is>
      </c>
      <c r="B4" s="25" t="inlineStr">
        <is>
          <t>compiled command (copy/paste)</t>
        </is>
      </c>
      <c r="C4" s="25" t="inlineStr">
        <is>
          <t>-RunId</t>
        </is>
      </c>
      <c r="D4" s="25" t="inlineStr">
        <is>
          <t>-Trace</t>
        </is>
      </c>
    </row>
    <row r="5" ht="18.75" customHeight="1">
      <c r="D5" t="inlineStr">
        <is>
          <t>switch (x to set)</t>
        </is>
      </c>
    </row>
    <row r="6" ht="18.75" customFormat="1" customHeight="1" s="18">
      <c r="A6" t="inlineStr">
        <is>
          <t>iba\app\ps\Spine-Check.ps1</t>
        </is>
      </c>
      <c r="B6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Log-Retention.ps1</t>
        </is>
      </c>
    </row>
    <row r="2" ht="18.75" customFormat="1" customHeight="1" s="18">
      <c r="A2" s="17" t="inlineStr">
        <is>
          <t>Apply log-retention rules (prune old logs).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iba\app\ps\Log-Retention.ps1</t>
        </is>
      </c>
      <c r="B6" s="5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Manifest-Rebuild.ps1</t>
        </is>
      </c>
    </row>
    <row r="2" ht="18.75" customFormat="1" customHeight="1" s="18">
      <c r="A2" s="17" t="inlineStr">
        <is>
          <t>Rebuild the file_manifest table.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iba\app\ps\Manifest-Rebuild.ps1</t>
        </is>
      </c>
      <c r="B6" s="5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0"/>
    <pageSetUpPr/>
  </sheetPr>
  <dimension ref="A1:E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5"/>
  </cols>
  <sheetData>
    <row r="1" ht="18.75" customHeight="1">
      <c r="A1" s="1" t="inlineStr">
        <is>
          <t>Manifest-Search.ps1</t>
        </is>
      </c>
    </row>
    <row r="2" ht="18.75" customFormat="1" customHeight="1" s="18">
      <c r="A2" s="17" t="inlineStr">
        <is>
          <t>Search the file_manifest table.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-Query</t>
        </is>
      </c>
      <c r="D4" s="4" t="inlineStr">
        <is>
          <t>-RunId</t>
        </is>
      </c>
      <c r="E4" s="4" t="inlineStr">
        <is>
          <t>-Trace</t>
        </is>
      </c>
    </row>
    <row r="5" ht="18.75" customFormat="1" customHeight="1" s="18">
      <c r="C5" s="17" t="inlineStr">
        <is>
          <t>e.g. grace, or registry:68, or type:observations</t>
        </is>
      </c>
    </row>
    <row r="6" ht="18.75" customFormat="1" customHeight="1" s="18">
      <c r="A6" s="18" t="inlineStr">
        <is>
          <t>iba\app\ps\Manifest-Search.ps1</t>
        </is>
      </c>
      <c r="B6" s="5">
        <f>A6&amp;" "&amp;IF(C6="","",$C$4&amp;" '"&amp;C6&amp;"' ")&amp;IF(D6="","",$D$4&amp;" '"&amp;D6&amp;"' ")&amp;IF(E6&lt;&gt;"",$E$4&amp;" ","")</f>
        <v/>
      </c>
    </row>
  </sheetData>
  <mergeCells count="1">
    <mergeCell ref="A2:E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0"/>
    <pageSetUpPr/>
  </sheetPr>
  <dimension ref="A1:F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New-Word.ps1</t>
        </is>
      </c>
    </row>
    <row r="2" ht="18.75" customFormat="1" customHeight="1" s="18">
      <c r="A2" s="17" t="inlineStr">
        <is>
          <t>Register a new word_registry entry and run its first-pass pipeline.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-Word</t>
        </is>
      </c>
      <c r="D4" s="4" t="inlineStr">
        <is>
          <t>-Source</t>
        </is>
      </c>
      <c r="E4" s="4" t="inlineStr">
        <is>
          <t>-Fresh</t>
        </is>
      </c>
      <c r="F4" s="4" t="inlineStr">
        <is>
          <t>-Trace</t>
        </is>
      </c>
    </row>
    <row r="5" ht="18.75" customFormat="1" customHeight="1" s="18">
      <c r="C5" s="17" t="inlineStr">
        <is>
          <t>the English word, e.g. compassion</t>
        </is>
      </c>
      <c r="D5" s="17" t="inlineStr">
        <is>
          <t>why this word -- provenance note</t>
        </is>
      </c>
      <c r="E5" s="17" t="inlineStr">
        <is>
          <t>ignore any partial prior run</t>
        </is>
      </c>
      <c r="F5" s="17" t="inlineStr">
        <is>
          <t>print every config read</t>
        </is>
      </c>
    </row>
    <row r="6" ht="18.75" customFormat="1" customHeight="1" s="18">
      <c r="A6" s="18" t="inlineStr">
        <is>
          <t>iba\app\ps\New-Word.ps1</t>
        </is>
      </c>
      <c r="B6" s="5">
        <f>A6&amp;" "&amp;IF(C6="","",$C$4&amp;" '"&amp;C6&amp;"' ")&amp;IF(D6="","",$D$4&amp;" '"&amp;D6&amp;"' ")&amp;IF(E6&lt;&gt;"",$E$4&amp;" ","")&amp;IF(F6&lt;&gt;"",$F$4&amp;"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0"/>
    <pageSetUpPr/>
  </sheetPr>
  <dimension ref="A1:I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9"/>
  </cols>
  <sheetData>
    <row r="1" ht="18.75" customHeight="1">
      <c r="A1" s="1" t="inlineStr">
        <is>
          <t>Operations-Ingest.ps1</t>
        </is>
      </c>
    </row>
    <row r="2" ht="18.75" customFormat="1" customHeight="1" s="18">
      <c r="A2" s="17" t="inlineStr">
        <is>
          <t>Ingest a debate-step payload (hib/phenomenon/operation/closing).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-Step</t>
        </is>
      </c>
      <c r="D4" s="4" t="inlineStr">
        <is>
          <t>-Book</t>
        </is>
      </c>
      <c r="E4" s="4" t="inlineStr">
        <is>
          <t>-Chapters</t>
        </is>
      </c>
      <c r="F4" s="4" t="inlineStr">
        <is>
          <t>-Range</t>
        </is>
      </c>
      <c r="G4" s="4" t="inlineStr">
        <is>
          <t>-PayloadPath</t>
        </is>
      </c>
      <c r="H4" s="4" t="inlineStr">
        <is>
          <t>-RunId</t>
        </is>
      </c>
      <c r="I4" s="4" t="inlineStr">
        <is>
          <t>-Trace</t>
        </is>
      </c>
    </row>
    <row r="5" ht="18.75" customFormat="1" customHeight="1" s="18">
      <c r="C5" s="17" t="inlineStr">
        <is>
          <t>hib.set|phenomenon.set|operation.set|closing.set</t>
        </is>
      </c>
      <c r="G5" s="17" t="inlineStr">
        <is>
          <t>path to the payload JSON</t>
        </is>
      </c>
    </row>
    <row r="6" ht="18.75" customFormat="1" customHeight="1" s="18">
      <c r="A6" s="18" t="inlineStr">
        <is>
          <t>iba\app\ps\Operations-Ingest.ps1</t>
        </is>
      </c>
      <c r="B6" s="5">
        <f>A6&amp;" "&amp;IF(C6="","",$C$4&amp;" "&amp;C6&amp;" ")&amp;IF(D6="","",$D$4&amp;" '"&amp;D6&amp;"' ")&amp;IF(E6="","",$E$4&amp;" '"&amp;E6&amp;"' ")&amp;IF(F6="","",$F$4&amp;" '"&amp;F6&amp;"' ")&amp;IF(G6="","",$G$4&amp;" '"&amp;G6&amp;"' ")&amp;IF(H6="","",$H$4&amp;" '"&amp;H6&amp;"' ")&amp;IF(I6&lt;&gt;"",$I$4&amp;" ","")</f>
        <v/>
      </c>
    </row>
  </sheetData>
  <mergeCells count="1">
    <mergeCell ref="A2:I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0"/>
    <pageSetUpPr/>
  </sheetPr>
  <dimension ref="A1:E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5"/>
  </cols>
  <sheetData>
    <row r="1" ht="18.75" customHeight="1">
      <c r="A1" s="1" t="inlineStr">
        <is>
          <t>Passage-Quality.ps1</t>
        </is>
      </c>
    </row>
    <row r="2" ht="18.75" customFormat="1" customHeight="1" s="18">
      <c r="A2" s="17" t="inlineStr">
        <is>
          <t>Quality-check passages, optionally scoped to a book.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-RunId</t>
        </is>
      </c>
      <c r="E4" s="4" t="inlineStr">
        <is>
          <t>-Trace</t>
        </is>
      </c>
    </row>
    <row r="5" ht="18.75" customFormat="1" customHeight="1" s="18">
      <c r="C5" s="17" t="inlineStr">
        <is>
          <t>omit for all books</t>
        </is>
      </c>
    </row>
    <row r="6" ht="18.75" customFormat="1" customHeight="1" s="18">
      <c r="A6" s="18" t="inlineStr">
        <is>
          <t>iba\app\ps\Passage-Quality.ps1</t>
        </is>
      </c>
      <c r="B6" s="5">
        <f>A6&amp;" "&amp;IF(C6="","",$C$4&amp;" '"&amp;C6&amp;"' ")&amp;IF(D6="","",$D$4&amp;" '"&amp;D6&amp;"' ")&amp;IF(E6&lt;&gt;"",$E$4&amp;" ","")</f>
        <v/>
      </c>
    </row>
  </sheetData>
  <mergeCells count="1">
    <mergeCell ref="A2:E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0"/>
    <pageSetUpPr/>
  </sheetPr>
  <dimension ref="A1:E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5"/>
  </cols>
  <sheetData>
    <row r="1" ht="18.75" customHeight="1">
      <c r="A1" s="1" t="inlineStr">
        <is>
          <t>PathAudit.ps1</t>
        </is>
      </c>
    </row>
    <row r="2" ht="18.75" customFormat="1" customHeight="1" s="18">
      <c r="A2" s="17" t="inlineStr">
        <is>
          <t>Scan for hardcoded paths that should be config-driven.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-Action</t>
        </is>
      </c>
      <c r="D4" s="4" t="inlineStr">
        <is>
          <t>-RunId</t>
        </is>
      </c>
      <c r="E4" s="4" t="inlineStr">
        <is>
          <t>-Trace</t>
        </is>
      </c>
    </row>
    <row r="5" ht="18.75" customFormat="1" customHeight="1" s="18">
      <c r="C5" s="17" t="inlineStr">
        <is>
          <t>Scan</t>
        </is>
      </c>
    </row>
    <row r="6" ht="18.75" customFormat="1" customHeight="1" s="18">
      <c r="A6" s="18" t="inlineStr">
        <is>
          <t>iba\app\ps\PathAudit.ps1</t>
        </is>
      </c>
      <c r="B6" s="5">
        <f>A6&amp;" "&amp;IF(C6="","",$C$4&amp;" "&amp;C6&amp;" ")&amp;IF(D6="","",$D$4&amp;" '"&amp;D6&amp;"' ")&amp;IF(E6&lt;&gt;"",$E$4&amp;" ","")</f>
        <v/>
      </c>
    </row>
  </sheetData>
  <mergeCells count="1">
    <mergeCell ref="A2:E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0"/>
    <pageSetUpPr/>
  </sheetPr>
  <dimension ref="A1:Y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23"/>
  </cols>
  <sheetData>
    <row r="1" ht="18.75" customHeight="1">
      <c r="A1" s="1" t="inlineStr">
        <is>
          <t>Prose.ps1</t>
        </is>
      </c>
    </row>
    <row r="2" ht="18.75" customFormat="1" customHeight="1" s="18">
      <c r="A2" s="17" t="inlineStr">
        <is>
          <t>Prose store: extract/search/export/import/flag/status the programme prose, and apply the reviewed patch.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-Step</t>
        </is>
      </c>
      <c r="D4" s="4" t="inlineStr">
        <is>
          <t>-Book</t>
        </is>
      </c>
      <c r="E4" s="4" t="inlineStr">
        <is>
          <t>-Chapter</t>
        </is>
      </c>
      <c r="F4" s="4" t="inlineStr">
        <is>
          <t>-TypeId</t>
        </is>
      </c>
      <c r="G4" s="4" t="inlineStr">
        <is>
          <t>-IncludeBody</t>
        </is>
      </c>
      <c r="H4" s="4" t="inlineStr">
        <is>
          <t>-AlsoMarkdown</t>
        </is>
      </c>
      <c r="I4" s="4" t="inlineStr">
        <is>
          <t>-AlsoDocx</t>
        </is>
      </c>
      <c r="J4" s="4" t="inlineStr">
        <is>
          <t>-Query</t>
        </is>
      </c>
      <c r="K4" s="4" t="inlineStr">
        <is>
          <t>-Limit</t>
        </is>
      </c>
      <c r="L4" s="4" t="inlineStr">
        <is>
          <t>-Fts</t>
        </is>
      </c>
      <c r="M4" s="4" t="inlineStr">
        <is>
          <t>-InputFile</t>
        </is>
      </c>
      <c r="N4" s="4" t="inlineStr">
        <is>
          <t>-Author</t>
        </is>
      </c>
      <c r="O4" s="4" t="inlineStr">
        <is>
          <t>-FlagCode</t>
        </is>
      </c>
      <c r="P4" s="4" t="inlineStr">
        <is>
          <t>-Description</t>
        </is>
      </c>
      <c r="Q4" s="4" t="inlineStr">
        <is>
          <t>-Find</t>
        </is>
      </c>
      <c r="R4" s="4" t="inlineStr">
        <is>
          <t>-Replace</t>
        </is>
      </c>
      <c r="S4" s="4" t="inlineStr">
        <is>
          <t>-ProposalFile</t>
        </is>
      </c>
      <c r="T4" s="4" t="inlineStr">
        <is>
          <t>-SectionIds</t>
        </is>
      </c>
      <c r="U4" s="4" t="inlineStr">
        <is>
          <t>-Status</t>
        </is>
      </c>
      <c r="V4" s="4" t="inlineStr">
        <is>
          <t>-PatchFile</t>
        </is>
      </c>
      <c r="W4" s="4" t="inlineStr">
        <is>
          <t>-DryRun</t>
        </is>
      </c>
      <c r="X4" s="4" t="inlineStr">
        <is>
          <t>-Out</t>
        </is>
      </c>
      <c r="Y4" s="4" t="inlineStr">
        <is>
          <t>-Trace</t>
        </is>
      </c>
    </row>
    <row r="5" ht="18.75" customFormat="1" customHeight="1" s="18">
      <c r="C5" s="17" t="inlineStr">
        <is>
          <t>Extract|Search|ExportChapter|ImportChapter|Flag|FlagFixPropose|FlagFixApply|SetStatus|ApplyPatch</t>
        </is>
      </c>
      <c r="D5" s="17" t="inlineStr">
        <is>
          <t>Programme|Detail design|Findings|Essays</t>
        </is>
      </c>
      <c r="F5" s="17" t="inlineStr">
        <is>
          <t>prose_section_type.id</t>
        </is>
      </c>
      <c r="J5" s="17" t="inlineStr">
        <is>
          <t>Search</t>
        </is>
      </c>
      <c r="K5" s="17" t="inlineStr">
        <is>
          <t>Search</t>
        </is>
      </c>
      <c r="L5" s="17" t="inlineStr">
        <is>
          <t>Search: use FTS5</t>
        </is>
      </c>
      <c r="M5" s="17" t="inlineStr">
        <is>
          <t>ImportChapter</t>
        </is>
      </c>
      <c r="Q5" s="17" t="inlineStr">
        <is>
          <t>FlagFixPropose</t>
        </is>
      </c>
      <c r="R5" s="17" t="inlineStr">
        <is>
          <t>FlagFixPropose</t>
        </is>
      </c>
      <c r="S5" s="17" t="inlineStr">
        <is>
          <t>FlagFixApply</t>
        </is>
      </c>
      <c r="T5" s="17" t="inlineStr">
        <is>
          <t>SetStatus</t>
        </is>
      </c>
      <c r="U5" s="17" t="inlineStr">
        <is>
          <t>draft|in_review|approved|archived</t>
        </is>
      </c>
      <c r="V5" s="17" t="inlineStr">
        <is>
          <t>ApplyPatch: patch .json</t>
        </is>
      </c>
      <c r="W5" s="17" t="inlineStr">
        <is>
          <t>ApplyPatch: roll back</t>
        </is>
      </c>
      <c r="X5" s="17" t="inlineStr">
        <is>
          <t>override output path</t>
        </is>
      </c>
    </row>
    <row r="6" ht="18.75" customFormat="1" customHeight="1" s="18">
      <c r="A6" s="18" t="inlineStr">
        <is>
          <t>iba\app\ps\Prose.ps1</t>
        </is>
      </c>
      <c r="B6" s="5">
        <f>A6&amp;" "&amp;IF(C6="","",$C$4&amp;" "&amp;C6&amp;" ")&amp;IF(D6="","",$D$4&amp;" '"&amp;D6&amp;"' ")&amp;IF(E6="","",$E$4&amp;" "&amp;E6&amp;" ")&amp;IF(F6="","",$F$4&amp;" "&amp;F6&amp;" ")&amp;IF(G6&lt;&gt;"",$G$4&amp;" ","")&amp;IF(H6&lt;&gt;"",$H$4&amp;" ","")&amp;IF(I6&lt;&gt;"",$I$4&amp;" ","")&amp;IF(J6="","",$J$4&amp;" '"&amp;J6&amp;"' ")&amp;IF(K6="","",$K$4&amp;" "&amp;K6&amp;" ")&amp;IF(L6&lt;&gt;"",$L$4&amp;" ","")&amp;IF(M6="","",$M$4&amp;" '"&amp;M6&amp;"' ")&amp;IF(N6="","",$N$4&amp;" '"&amp;N6&amp;"' ")&amp;IF(O6="","",$O$4&amp;" '"&amp;O6&amp;"' ")&amp;IF(P6="","",$P$4&amp;" '"&amp;P6&amp;"' ")&amp;IF(Q6="","",$Q$4&amp;" '"&amp;Q6&amp;"' ")&amp;IF(R6="","",$R$4&amp;" '"&amp;R6&amp;"' ")&amp;IF(S6="","",$S$4&amp;" '"&amp;S6&amp;"' ")&amp;IF(T6="","",$T$4&amp;" '"&amp;T6&amp;"' ")&amp;IF(U6="","",$U$4&amp;" "&amp;U6&amp;" ")&amp;IF(V6="","",$V$4&amp;" '"&amp;V6&amp;"' ")&amp;IF(W6&lt;&gt;"",$W$4&amp;" ","")&amp;IF(X6="","",$X$4&amp;" '"&amp;X6&amp;"' ")&amp;IF(Y6&lt;&gt;"",$Y$4&amp;" ","")</f>
        <v/>
      </c>
    </row>
  </sheetData>
  <mergeCells count="1">
    <mergeCell ref="A2:W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0"/>
    <pageSetUpPr/>
  </sheetPr>
  <dimension ref="A1:F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Raw-Backfill.ps1</t>
        </is>
      </c>
    </row>
    <row r="2" ht="18.75" customFormat="1" customHeight="1" s="18">
      <c r="A2" s="17" t="inlineStr">
        <is>
          <t>Backfill span/strong_verse from raw span data for a book.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-Range</t>
        </is>
      </c>
      <c r="E4" s="4" t="inlineStr">
        <is>
          <t>-RunId</t>
        </is>
      </c>
      <c r="F4" s="4" t="inlineStr">
        <is>
          <t>-Trace</t>
        </is>
      </c>
    </row>
    <row r="5" ht="18.75" customFormat="1" customHeight="1" s="18">
      <c r="D5" s="17" t="inlineStr">
        <is>
          <t>e.g. 1-9 (chapters)</t>
        </is>
      </c>
    </row>
    <row r="6" ht="18.75" customFormat="1" customHeight="1" s="18">
      <c r="A6" s="18" t="inlineStr">
        <is>
          <t>iba\app\ps\Raw-Backfill.ps1</t>
        </is>
      </c>
      <c r="B6" s="5">
        <f>A6&amp;" "&amp;IF(C6="","",$C$4&amp;" '"&amp;C6&amp;"' ")&amp;IF(D6="","",$D$4&amp;" '"&amp;D6&amp;"' ")&amp;IF(E6="","",$E$4&amp;" '"&amp;E6&amp;"' ")&amp;IF(F6&lt;&gt;"",$F$4&amp;"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Registry-Report.ps1</t>
        </is>
      </c>
    </row>
    <row r="2" ht="18.75" customFormat="1" customHeight="1" s="18">
      <c r="A2" s="17" t="inlineStr">
        <is>
          <t>word_registry overview report.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iba\app\ps\Registry-Report.ps1</t>
        </is>
      </c>
      <c r="B6" s="5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0"/>
    <pageSetUpPr/>
  </sheetPr>
  <dimension ref="A1:F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Reports.ps1</t>
        </is>
      </c>
    </row>
    <row r="2" ht="18.75" customFormat="1" customHeight="1" s="18">
      <c r="A2" s="17" t="inlineStr">
        <is>
          <t>Word/book validation and report bundle.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-Step</t>
        </is>
      </c>
      <c r="D4" s="4" t="inlineStr">
        <is>
          <t>-Word</t>
        </is>
      </c>
      <c r="E4" s="4" t="inlineStr">
        <is>
          <t>-Book</t>
        </is>
      </c>
      <c r="F4" s="4" t="inlineStr">
        <is>
          <t>-Trace</t>
        </is>
      </c>
    </row>
    <row r="5" ht="18.75" customFormat="1" customHeight="1" s="18">
      <c r="C5" s="17" t="inlineStr">
        <is>
          <t>ReportWord|ValidationWord|ValidationBook</t>
        </is>
      </c>
    </row>
    <row r="6" ht="18.75" customFormat="1" customHeight="1" s="18">
      <c r="A6" s="18" t="inlineStr">
        <is>
          <t>iba\app\ps\Reports.ps1</t>
        </is>
      </c>
      <c r="B6" s="5">
        <f>A6&amp;" "&amp;IF(C6="","",$C$4&amp;" "&amp;C6&amp;" ")&amp;IF(D6="","",$D$4&amp;" '"&amp;D6&amp;"' ")&amp;IF(E6="","",$E$4&amp;" '"&amp;E6&amp;"' ")&amp;IF(F6&lt;&gt;"",$F$4&amp;"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0"/>
    <pageSetUpPr/>
  </sheetPr>
  <dimension ref="A1:D6"/>
  <sheetViews>
    <sheetView tabSelected="1" workbookViewId="0">
      <pane ySplit="5" topLeftCell="A6" activePane="bottomLeft" state="frozen"/>
      <selection pane="bottomLeft" activeCell="B6" sqref="B6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SchemaOverview-Report.ps1</t>
        </is>
      </c>
    </row>
    <row r="2" ht="18.75" customFormat="1" customHeight="1" s="18">
      <c r="A2" s="17" t="inlineStr">
        <is>
          <t>Live iba.db schema overview report.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66.75" customFormat="1" customHeight="1" s="18">
      <c r="A6" s="18" t="inlineStr">
        <is>
          <t>iba\app\ps\SchemaOverview-Report.ps1</t>
        </is>
      </c>
      <c r="B6" s="5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SchemaOverview-BibleResearch-Report.ps1</t>
        </is>
      </c>
    </row>
    <row r="2" ht="18.75" customFormat="1" customHeight="1" s="18">
      <c r="A2" s="17" t="inlineStr">
        <is>
          <t>Live bible_research.db schema overview report -- merged against cfg_table/cfg_column, table+column level, discrepancies flagged.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66.75" customFormat="1" customHeight="1" s="18">
      <c r="A6" s="18" t="inlineStr">
        <is>
          <t>iba\app\ps\SchemaOverview-BibleResearch-Report.ps1</t>
        </is>
      </c>
      <c r="B6" s="5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SpanAnalysis-Report.ps1</t>
        </is>
      </c>
    </row>
    <row r="2" ht="18.75" customFormat="1" customHeight="1" s="18">
      <c r="A2" s="17" t="inlineStr">
        <is>
          <t>span table analysis report.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iba\app\ps\SpanAnalysis-Report.ps1</t>
        </is>
      </c>
      <c r="B6" s="5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Start-Iba.ps1</t>
        </is>
      </c>
    </row>
    <row r="2" ht="18.75" customFormat="1" customHeight="1" s="18">
      <c r="A2" s="17" t="inlineStr">
        <is>
          <t>Session bootstrap -- run once per session before any IBA work.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-Reset</t>
        </is>
      </c>
    </row>
    <row r="5" ht="18.75" customFormat="1" customHeight="1" s="18">
      <c r="C5" s="17" t="inlineStr">
        <is>
          <t>full reset</t>
        </is>
      </c>
    </row>
    <row r="6" ht="18.75" customFormat="1" customHeight="1" s="18">
      <c r="A6" s="18" t="inlineStr">
        <is>
          <t>iba\app\ps\Start-Iba.ps1</t>
        </is>
      </c>
      <c r="B6" s="5">
        <f>A6&amp;" "&amp;IF(C6&lt;&gt;"",$C$4&amp;"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StrongMeaning-Report.ps1</t>
        </is>
      </c>
    </row>
    <row r="2" ht="18.75" customFormat="1" customHeight="1" s="18">
      <c r="A2" s="17" t="inlineStr">
        <is>
          <t>strong_meaning_parsed/strong_lexicon coverage report.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iba\app\ps\StrongMeaning-Report.ps1</t>
        </is>
      </c>
      <c r="B6" s="5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0"/>
    <pageSetUpPr/>
  </sheetPr>
  <dimension ref="A1:F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StrongVerse-Report.ps1</t>
        </is>
      </c>
    </row>
    <row r="2" ht="18.75" customFormat="1" customHeight="1" s="18">
      <c r="A2" s="17" t="inlineStr">
        <is>
          <t>Report a word's strong&lt;-&gt;verse coverage.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-Word</t>
        </is>
      </c>
      <c r="D4" s="4" t="inlineStr">
        <is>
          <t>-Strong</t>
        </is>
      </c>
      <c r="E4" s="4" t="inlineStr">
        <is>
          <t>-RunId</t>
        </is>
      </c>
      <c r="F4" s="4" t="inlineStr">
        <is>
          <t>-Trace</t>
        </is>
      </c>
    </row>
    <row r="5" ht="18.75" customFormat="1" customHeight="1" s="18">
      <c r="D5" s="17" t="inlineStr">
        <is>
          <t>e.g. H2734</t>
        </is>
      </c>
    </row>
    <row r="6" ht="18.75" customFormat="1" customHeight="1" s="18">
      <c r="A6" s="18" t="inlineStr">
        <is>
          <t>iba\app\ps\StrongVerse-Report.ps1</t>
        </is>
      </c>
      <c r="B6" s="5">
        <f>A6&amp;" "&amp;IF(C6="","",$C$4&amp;" '"&amp;C6&amp;"' ")&amp;IF(D6="","",$D$4&amp;" '"&amp;D6&amp;"' ")&amp;IF(E6="","",$E$4&amp;" '"&amp;E6&amp;"' ")&amp;IF(F6&lt;&gt;"",$F$4&amp;"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0"/>
    <pageSetUpPr/>
  </sheetPr>
  <dimension ref="A1:Q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7"/>
    <col width="11.42578125" bestFit="1" customWidth="1" min="8" max="8"/>
    <col width="13.5703125" bestFit="1" customWidth="1" min="9" max="9"/>
    <col width="22" customWidth="1" min="10" max="10"/>
  </cols>
  <sheetData>
    <row r="1" ht="18.75" customHeight="1">
      <c r="A1" s="1" t="inlineStr">
        <is>
          <t>VerseLexical.ps1</t>
        </is>
      </c>
    </row>
    <row r="2" ht="18.75" customFormat="1" customHeight="1" s="18">
      <c r="A2" s="17" t="inlineStr">
        <is>
          <t>Run verse_lexical (L4b) derivation for a book/chapter range -- covers both lexical.build and report.verse_lexical.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-Chapters</t>
        </is>
      </c>
      <c r="E4" s="4" t="inlineStr">
        <is>
          <t>-Range</t>
        </is>
      </c>
      <c r="F4" s="4" t="inlineStr">
        <is>
          <t>-BookLabel</t>
        </is>
      </c>
      <c r="G4" s="4" t="inlineStr">
        <is>
          <t>-RunId</t>
        </is>
      </c>
      <c r="H4" s="4" t="inlineStr">
        <is>
          <t>-Trace</t>
        </is>
      </c>
      <c r="I4" t="inlineStr">
        <is>
          <t>-Step</t>
        </is>
      </c>
      <c r="J4" s="23" t="inlineStr">
        <is>
          <t>-PayloadPath</t>
        </is>
      </c>
      <c r="K4" t="inlineStr">
        <is>
          <t>-SkipBuild</t>
        </is>
      </c>
      <c r="L4" t="inlineStr">
        <is>
          <t>-ForceRebuild</t>
        </is>
      </c>
      <c r="M4" t="inlineStr">
        <is>
          <t>-PassageFilter</t>
        </is>
      </c>
      <c r="N4" t="inlineStr">
        <is>
          <t>-VerseFilter</t>
        </is>
      </c>
      <c r="O4" t="inlineStr">
        <is>
          <t>-SurfaceFilter</t>
        </is>
      </c>
      <c r="P4" t="inlineStr">
        <is>
          <t>-StrongFilter</t>
        </is>
      </c>
      <c r="Q4" t="inlineStr">
        <is>
          <t>what this row demonstrates</t>
        </is>
      </c>
    </row>
    <row r="5" ht="51.75" customFormat="1" customHeight="1" s="18">
      <c r="D5" s="17" t="inlineStr">
        <is>
          <t>whole chapter(s): a single chapter e.g. 1, or a contiguous range e.g. 1-9 -- NOT a comma-list</t>
        </is>
      </c>
      <c r="E5" s="17" t="inlineStr">
        <is>
          <t>chapter:verse[-verse] -- MUST include the colon, e.g. 8:2 (single verse) or 8:1-27 (span)</t>
        </is>
      </c>
      <c r="I5" s="18" t="inlineStr">
        <is>
          <t>lexical.build|lexical.enrich|report.verse_lexical|report.lexical_exceptions|report.lexical_extract -- omit to run the full chained sequence (now also runs lexical.enrich + report.lexical_exceptions); report.verse_lexical alone VIEWS already-built results with no re-build</t>
        </is>
      </c>
      <c r="J5" s="20" t="inlineStr">
        <is>
          <t>path to the lexical.enrich payload JSON (notes/remove/genre) -- REQUIRED when -Step lexical.enrich is used, or when running the full sequence (which now includes lexical.enrich)</t>
        </is>
      </c>
      <c r="K5" t="inlineStr">
        <is>
          <t>switch -- skip the lexical.build precheck/auto-build entirely, go straight to lexical.enrich (fails fast if Layer 1 is missing for the range). Mutually exclusive with -ForceRebuild.</t>
        </is>
      </c>
      <c r="L5" t="inlineStr">
        <is>
          <t>switch -- force lexical.build to rebuild even though Layer 1 is already present for the range; WARNS if Layer 2 notes already exist for it (rebuild orphans them -- see BUILD.md #234). Mutually exclusive with -SkipBuild.</t>
        </is>
      </c>
      <c r="M5" t="inlineStr">
        <is>
          <t>(report.lexical_extract only) comma-list of passage ids.</t>
        </is>
      </c>
      <c r="N5" t="inlineStr">
        <is>
          <t>(report.lexical_extract only) comma-list of OSIS verses, or a same-book range, e.g. 'Rom.9.14' or 'Gen.1.1-Gen.1.10'. Different syntax from -Range (chapter:verse against -Book) -- this filter ignores -Book/-Chapters/-Range entirely.</t>
        </is>
      </c>
      <c r="O5" t="inlineStr">
        <is>
          <t>(report.lexical_extract only) comma-list of exact surface-text values.</t>
        </is>
      </c>
      <c r="P5" t="inlineStr">
        <is>
          <t>(report.lexical_extract only) comma-list of Strong's codes.</t>
        </is>
      </c>
    </row>
    <row r="6" ht="32.25" customFormat="1" customHeight="1" s="18">
      <c r="A6" s="18" t="inlineStr">
        <is>
          <t>iba\app\ps\VerseLexical.ps1</t>
        </is>
      </c>
      <c r="B6" s="5">
        <f>A6&amp;" "&amp;IF(C6="","",$C$4&amp;" '"&amp;C6&amp;"' ")&amp;IF(D6="","",$D$4&amp;" '"&amp;D6&amp;"' ")&amp;IF(E6="","",$E$4&amp;" '"&amp;E6&amp;"' ")&amp;IF(F6="","",$F$4&amp;" '"&amp;F6&amp;"' ")&amp;IF(G6="","",$G$4&amp;" '"&amp;G6&amp;"' ")&amp;IF(H6&lt;&gt;"",$H$4&amp;" ","")&amp;IF(I6="","",$I$4&amp;" '"&amp;I6&amp;"' ")&amp;IF(J6="","",$J$4&amp;" '"&amp;J6&amp;"' ")&amp;IF(K6&lt;&gt;"",$K$4&amp;" ","")&amp;IF(L6&lt;&gt;"",$L$4&amp;" ","")&amp;IF(M6="","",$M$4&amp;" '"&amp;M6&amp;"' ")&amp;IF(N6="","",$N$4&amp;" '"&amp;N6&amp;"' ")&amp;IF(O6="","",$O$4&amp;" '"&amp;O6&amp;"' ")&amp;IF(P6="","",$P$4&amp;" '"&amp;P6&amp;"' ")</f>
        <v/>
      </c>
      <c r="C6" s="18" t="inlineStr">
        <is>
          <t>Rom</t>
        </is>
      </c>
      <c r="D6" s="6" t="n"/>
      <c r="E6" s="18" t="inlineStr">
        <is>
          <t>8:2</t>
        </is>
      </c>
      <c r="I6" t="inlineStr">
        <is>
          <t>lexical.build</t>
        </is>
      </c>
      <c r="Q6" t="inlineStr">
        <is>
          <t>Layer 1 only (mechanical build) -- no payload needed. Fixed 2026-09-05: this row used to omit -Step, which now runs the FULL default sequence (incl. lexical.enrich) and fails without a payload -- exactly the error found live.</t>
        </is>
      </c>
    </row>
    <row r="7">
      <c r="A7" t="inlineStr">
        <is>
          <t>iba\app\ps\VerseLexical.ps1</t>
        </is>
      </c>
      <c r="B7">
        <f>A7&amp;" "&amp;IF(C7="","",$C$4&amp;" '"&amp;C7&amp;"' ")&amp;IF(D7="","",$D$4&amp;" '"&amp;D7&amp;"' ")&amp;IF(E7="","",$E$4&amp;" '"&amp;E7&amp;"' ")&amp;IF(F7="","",$F$4&amp;" '"&amp;F7&amp;"' ")&amp;IF(G7="","",$G$4&amp;" '"&amp;G7&amp;"' ")&amp;IF(H7&lt;&gt;"",$H$4&amp;" ","")&amp;IF(I7="","",$I$4&amp;" '"&amp;I7&amp;"' ")&amp;IF(J7="","",$J$4&amp;" '"&amp;J7&amp;"' ")&amp;IF(K7&lt;&gt;"",$K$4&amp;" ","")&amp;IF(L7&lt;&gt;"",$L$4&amp;" ","")&amp;IF(M7="","",$M$4&amp;" '"&amp;M7&amp;"' ")&amp;IF(N7="","",$N$4&amp;" '"&amp;N7&amp;"' ")&amp;IF(O7="","",$O$4&amp;" '"&amp;O7&amp;"' ")&amp;IF(P7="","",$P$4&amp;" '"&amp;P7&amp;"' ")</f>
        <v/>
      </c>
      <c r="C7" t="inlineStr">
        <is>
          <t>Rom</t>
        </is>
      </c>
      <c r="E7" t="inlineStr">
        <is>
          <t>8:2</t>
        </is>
      </c>
      <c r="I7" t="inlineStr">
        <is>
          <t>report.verse_lexical</t>
        </is>
      </c>
      <c r="Q7" t="inlineStr">
        <is>
          <t>View already-built Layer 1 results -- no rebuild, no STEP calls, no payload.</t>
        </is>
      </c>
    </row>
    <row r="8">
      <c r="A8" t="inlineStr">
        <is>
          <t>iba\app\ps\VerseLexical.ps1</t>
        </is>
      </c>
      <c r="B8">
        <f>A8&amp;" "&amp;IF(C8="","",$C$4&amp;" '"&amp;C8&amp;"' ")&amp;IF(D8="","",$D$4&amp;" '"&amp;D8&amp;"' ")&amp;IF(E8="","",$E$4&amp;" '"&amp;E8&amp;"' ")&amp;IF(F8="","",$F$4&amp;" '"&amp;F8&amp;"' ")&amp;IF(G8="","",$G$4&amp;" '"&amp;G8&amp;"' ")&amp;IF(H8&lt;&gt;"",$H$4&amp;" ","")&amp;IF(I8="","",$I$4&amp;" '"&amp;I8&amp;"' ")&amp;IF(J8="","",$J$4&amp;" '"&amp;J8&amp;"' ")&amp;IF(K8&lt;&gt;"",$K$4&amp;" ","")&amp;IF(L8&lt;&gt;"",$L$4&amp;" ","")&amp;IF(M8="","",$M$4&amp;" '"&amp;M8&amp;"' ")&amp;IF(N8="","",$N$4&amp;" '"&amp;N8&amp;"' ")&amp;IF(O8="","",$O$4&amp;" '"&amp;O8&amp;"' ")&amp;IF(P8="","",$P$4&amp;" '"&amp;P8&amp;"' ")</f>
        <v/>
      </c>
      <c r="C8" t="inlineStr">
        <is>
          <t>Rom</t>
        </is>
      </c>
      <c r="E8" t="inlineStr">
        <is>
          <t>9:14</t>
        </is>
      </c>
      <c r="I8" t="inlineStr">
        <is>
          <t>lexical.enrich</t>
        </is>
      </c>
      <c r="J8" t="inlineStr">
        <is>
          <t>iba\docs\lexical-enrich-payload-example-rom-9-14-v1-20260905.json</t>
        </is>
      </c>
      <c r="Q8" t="inlineStr">
        <is>
          <t>Layer 2 enrich using the real worked-example payload -- see lexical-enrich-payload-guide-v1-20260905.md for what's in it. Auto-builds Layer 1 first only if it isn't already there.</t>
        </is>
      </c>
    </row>
    <row r="9">
      <c r="A9" t="inlineStr">
        <is>
          <t>iba\app\ps\VerseLexical.ps1</t>
        </is>
      </c>
      <c r="B9">
        <f>A9&amp;" "&amp;IF(C9="","",$C$4&amp;" '"&amp;C9&amp;"' ")&amp;IF(D9="","",$D$4&amp;" '"&amp;D9&amp;"' ")&amp;IF(E9="","",$E$4&amp;" '"&amp;E9&amp;"' ")&amp;IF(F9="","",$F$4&amp;" '"&amp;F9&amp;"' ")&amp;IF(G9="","",$G$4&amp;" '"&amp;G9&amp;"' ")&amp;IF(H9&lt;&gt;"",$H$4&amp;" ","")&amp;IF(I9="","",$I$4&amp;" '"&amp;I9&amp;"' ")&amp;IF(J9="","",$J$4&amp;" '"&amp;J9&amp;"' ")&amp;IF(K9&lt;&gt;"",$K$4&amp;" ","")&amp;IF(L9&lt;&gt;"",$L$4&amp;" ","")&amp;IF(M9="","",$M$4&amp;" '"&amp;M9&amp;"' ")&amp;IF(N9="","",$N$4&amp;" '"&amp;N9&amp;"' ")&amp;IF(O9="","",$O$4&amp;" '"&amp;O9&amp;"' ")&amp;IF(P9="","",$P$4&amp;" '"&amp;P9&amp;"' ")</f>
        <v/>
      </c>
      <c r="C9" t="inlineStr">
        <is>
          <t>Rom</t>
        </is>
      </c>
      <c r="E9" t="inlineStr">
        <is>
          <t>9:14</t>
        </is>
      </c>
      <c r="I9" t="inlineStr">
        <is>
          <t>lexical.enrich</t>
        </is>
      </c>
      <c r="J9" t="inlineStr">
        <is>
          <t>iba\docs\lexical-enrich-payload-example-rom-9-14-v1-20260905.json</t>
        </is>
      </c>
      <c r="K9" t="inlineStr">
        <is>
          <t>x</t>
        </is>
      </c>
      <c r="Q9" t="inlineStr">
        <is>
          <t>-SkipBuild: same enrich, but skip the Layer-1 precheck entirely (use when you already know Layer 1 is current).</t>
        </is>
      </c>
    </row>
    <row r="10">
      <c r="A10" t="inlineStr">
        <is>
          <t>iba\app\ps\VerseLexical.ps1</t>
        </is>
      </c>
      <c r="B10">
        <f>A10&amp;" "&amp;IF(C10="","",$C$4&amp;" '"&amp;C10&amp;"' ")&amp;IF(D10="","",$D$4&amp;" '"&amp;D10&amp;"' ")&amp;IF(E10="","",$E$4&amp;" '"&amp;E10&amp;"' ")&amp;IF(F10="","",$F$4&amp;" '"&amp;F10&amp;"' ")&amp;IF(G10="","",$G$4&amp;" '"&amp;G10&amp;"' ")&amp;IF(H10&lt;&gt;"",$H$4&amp;" ","")&amp;IF(I10="","",$I$4&amp;" '"&amp;I10&amp;"' ")&amp;IF(J10="","",$J$4&amp;" '"&amp;J10&amp;"' ")&amp;IF(K10&lt;&gt;"",$K$4&amp;" ","")&amp;IF(L10&lt;&gt;"",$L$4&amp;" ","")&amp;IF(M10="","",$M$4&amp;" '"&amp;M10&amp;"' ")&amp;IF(N10="","",$N$4&amp;" '"&amp;N10&amp;"' ")&amp;IF(O10="","",$O$4&amp;" '"&amp;O10&amp;"' ")&amp;IF(P10="","",$P$4&amp;" '"&amp;P10&amp;"' ")</f>
        <v/>
      </c>
      <c r="C10" t="inlineStr">
        <is>
          <t>Rom</t>
        </is>
      </c>
      <c r="E10" t="inlineStr">
        <is>
          <t>9:14</t>
        </is>
      </c>
      <c r="I10" t="inlineStr">
        <is>
          <t>lexical.enrich</t>
        </is>
      </c>
      <c r="J10" t="inlineStr">
        <is>
          <t>iba\docs\lexical-enrich-payload-example-rom-9-14-v1-20260905.json</t>
        </is>
      </c>
      <c r="L10" t="inlineStr">
        <is>
          <t>x</t>
        </is>
      </c>
      <c r="Q10" t="inlineStr">
        <is>
          <t>-ForceRebuild: force Layer 1 to rebuild even though already present (rare -- prints a warning if Layer 2 notes already exist, since rebuilding could touch them).</t>
        </is>
      </c>
    </row>
    <row r="11">
      <c r="A11" t="inlineStr">
        <is>
          <t>iba\app\ps\VerseLexical.ps1</t>
        </is>
      </c>
      <c r="B11">
        <f>A11&amp;" "&amp;IF(C11="","",$C$4&amp;" '"&amp;C11&amp;"' ")&amp;IF(D11="","",$D$4&amp;" '"&amp;D11&amp;"' ")&amp;IF(E11="","",$E$4&amp;" '"&amp;E11&amp;"' ")&amp;IF(F11="","",$F$4&amp;" '"&amp;F11&amp;"' ")&amp;IF(G11="","",$G$4&amp;" '"&amp;G11&amp;"' ")&amp;IF(H11&lt;&gt;"",$H$4&amp;" ","")&amp;IF(I11="","",$I$4&amp;" '"&amp;I11&amp;"' ")&amp;IF(J11="","",$J$4&amp;" '"&amp;J11&amp;"' ")&amp;IF(K11&lt;&gt;"",$K$4&amp;" ","")&amp;IF(L11&lt;&gt;"",$L$4&amp;" ","")&amp;IF(M11="","",$M$4&amp;" '"&amp;M11&amp;"' ")&amp;IF(N11="","",$N$4&amp;" '"&amp;N11&amp;"' ")&amp;IF(O11="","",$O$4&amp;" '"&amp;O11&amp;"' ")&amp;IF(P11="","",$P$4&amp;" '"&amp;P11&amp;"' ")</f>
        <v/>
      </c>
      <c r="C11" t="inlineStr">
        <is>
          <t>Rom</t>
        </is>
      </c>
      <c r="E11" t="inlineStr">
        <is>
          <t>9:14</t>
        </is>
      </c>
      <c r="I11" t="inlineStr">
        <is>
          <t>report.lexical_exceptions</t>
        </is>
      </c>
      <c r="Q11" t="inlineStr">
        <is>
          <t>Per-run self-audit for an already-enriched range: Layer 1 tally, Layer 2 dispositions, judgement calls, and the dangling-reference integrity check.</t>
        </is>
      </c>
    </row>
    <row r="12">
      <c r="A12" t="inlineStr">
        <is>
          <t>iba\app\ps\VerseLexical.ps1</t>
        </is>
      </c>
      <c r="B12">
        <f>A12&amp;" "&amp;IF(C12="","",$C$4&amp;" '"&amp;C12&amp;"' ")&amp;IF(D12="","",$D$4&amp;" '"&amp;D12&amp;"' ")&amp;IF(E12="","",$E$4&amp;" '"&amp;E12&amp;"' ")&amp;IF(F12="","",$F$4&amp;" '"&amp;F12&amp;"' ")&amp;IF(G12="","",$G$4&amp;" '"&amp;G12&amp;"' ")&amp;IF(H12&lt;&gt;"",$H$4&amp;" ","")&amp;IF(I12="","",$I$4&amp;" '"&amp;I12&amp;"' ")&amp;IF(J12="","",$J$4&amp;" '"&amp;J12&amp;"' ")&amp;IF(K12&lt;&gt;"",$K$4&amp;" ","")&amp;IF(L12&lt;&gt;"",$L$4&amp;" ","")&amp;IF(M12="","",$M$4&amp;" '"&amp;M12&amp;"' ")&amp;IF(N12="","",$N$4&amp;" '"&amp;N12&amp;"' ")&amp;IF(O12="","",$O$4&amp;" '"&amp;O12&amp;"' ")&amp;IF(P12="","",$P$4&amp;" '"&amp;P12&amp;"' ")</f>
        <v/>
      </c>
      <c r="C12" t="inlineStr">
        <is>
          <t>Rom</t>
        </is>
      </c>
      <c r="E12" t="inlineStr">
        <is>
          <t>1:1</t>
        </is>
      </c>
      <c r="I12" t="inlineStr">
        <is>
          <t>report.lexical_extract</t>
        </is>
      </c>
      <c r="N12" t="inlineStr">
        <is>
          <t>Rom.9.14</t>
        </is>
      </c>
      <c r="Q12" t="inlineStr">
        <is>
          <t>report.lexical_extract: filter-driven, ignores -Book/-Chapters/-Range (still required by this script -- any value works, e.g. Rom/1:1 here). Needs at least one of -PassageFilter/-VerseFilter/-SurfaceFilter/-StrongFilter.</t>
        </is>
      </c>
    </row>
    <row r="13">
      <c r="A13" t="inlineStr">
        <is>
          <t>iba\app\ps\VerseLexical.ps1</t>
        </is>
      </c>
      <c r="B13">
        <f>A13&amp;" "&amp;IF(C13="","",$C$4&amp;" '"&amp;C13&amp;"' ")&amp;IF(D13="","",$D$4&amp;" '"&amp;D13&amp;"' ")&amp;IF(E13="","",$E$4&amp;" '"&amp;E13&amp;"' ")&amp;IF(F13="","",$F$4&amp;" '"&amp;F13&amp;"' ")&amp;IF(G13="","",$G$4&amp;" '"&amp;G13&amp;"' ")&amp;IF(H13&lt;&gt;"",$H$4&amp;" ","")&amp;IF(I13="","",$I$4&amp;" '"&amp;I13&amp;"' ")&amp;IF(J13="","",$J$4&amp;" '"&amp;J13&amp;"' ")&amp;IF(K13&lt;&gt;"",$K$4&amp;" ","")&amp;IF(L13&lt;&gt;"",$L$4&amp;" ","")&amp;IF(M13="","",$M$4&amp;" '"&amp;M13&amp;"' ")&amp;IF(N13="","",$N$4&amp;" '"&amp;N13&amp;"' ")&amp;IF(O13="","",$O$4&amp;" '"&amp;O13&amp;"' ")&amp;IF(P13="","",$P$4&amp;" '"&amp;P13&amp;"' ")</f>
        <v/>
      </c>
      <c r="C13" t="inlineStr">
        <is>
          <t>Rom</t>
        </is>
      </c>
      <c r="E13" t="inlineStr">
        <is>
          <t>9:14</t>
        </is>
      </c>
      <c r="J13" t="inlineStr">
        <is>
          <t>iba\docs\lexical-enrich-payload-example-rom-9-14-v1-20260905.json</t>
        </is>
      </c>
      <c r="N13" t="inlineStr">
        <is>
          <t>Rom.9.14</t>
        </is>
      </c>
      <c r="Q13" t="inlineStr">
        <is>
          <t>Full default sequence (no -Step): build + view + enrich + exceptions + extract, all 5 steps in one run. Needs BOTH -PayloadPath (for lexical.enrich) AND a filter (for report.lexical_extract, now both in the default sequence) -- omitting either fails fast.</t>
        </is>
      </c>
    </row>
  </sheetData>
  <mergeCells count="1">
    <mergeCell ref="A2:H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0"/>
    <pageSetUpPr/>
  </sheetPr>
  <dimension ref="A1:F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WholeBookRead-Report.ps1</t>
        </is>
      </c>
    </row>
    <row r="2" ht="18.75" customFormat="1" customHeight="1" s="18">
      <c r="A2" s="17" t="inlineStr">
        <is>
          <t>Whole-book-read report for a book.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-BookLabel</t>
        </is>
      </c>
      <c r="E4" s="4" t="inlineStr">
        <is>
          <t>-RunId</t>
        </is>
      </c>
      <c r="F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iba\app\ps\WholeBookRead-Report.ps1</t>
        </is>
      </c>
      <c r="B6" s="5">
        <f>A6&amp;" "&amp;IF(C6="","",$C$4&amp;" '"&amp;C6&amp;"' ")&amp;IF(D6="","",$D$4&amp;" '"&amp;D6&amp;"' ")&amp;IF(E6="","",$E$4&amp;" '"&amp;E6&amp;"' ")&amp;IF(F6&lt;&gt;"",$F$4&amp;"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22" customWidth="1" min="3" max="4"/>
  </cols>
  <sheetData>
    <row r="1" ht="17.25" customHeight="1">
      <c r="A1" s="14" t="inlineStr">
        <is>
          <t>Catalogue-Report.ps1</t>
        </is>
      </c>
    </row>
    <row r="2" ht="48.75" customHeight="1">
      <c r="A2" s="15" t="inlineStr">
        <is>
          <t>Structural review of wa_obs_question_catalogue (bible_research.db) -- no findings/joins. Escalation #1007 second half. Read-only.</t>
        </is>
      </c>
    </row>
    <row r="4">
      <c r="A4" s="10" t="inlineStr">
        <is>
          <t>script</t>
        </is>
      </c>
      <c r="B4" s="10" t="inlineStr">
        <is>
          <t>compiled command (copy/paste)</t>
        </is>
      </c>
      <c r="C4" s="10" t="inlineStr">
        <is>
          <t>-RunId</t>
        </is>
      </c>
      <c r="D4" s="10" t="inlineStr">
        <is>
          <t>-Trace</t>
        </is>
      </c>
    </row>
    <row r="6">
      <c r="A6" s="18" t="inlineStr">
        <is>
          <t>iba\app\ps\Catalogue-Report.ps1</t>
        </is>
      </c>
      <c r="B6" s="16">
        <f>A6&amp;" "&amp;IF(C6="","",$C$4&amp;" '"&amp;C6&amp;"' ")&amp;IF(D6&lt;&gt;"",$D$4&amp;" ","")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0"/>
    <pageSetUpPr/>
  </sheetPr>
  <dimension ref="A1:J6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10"/>
    <col width="40" customWidth="1" min="4" max="4"/>
    <col width="22" customWidth="1" min="5" max="5"/>
    <col width="22" customWidth="1" min="6" max="6"/>
  </cols>
  <sheetData>
    <row r="1" ht="18.75" customHeight="1">
      <c r="A1" s="1" t="inlineStr">
        <is>
          <t>Catalogue-Update.ps1</t>
        </is>
      </c>
    </row>
    <row r="2" ht="18.75" customFormat="1" customHeight="1" s="18">
      <c r="A2" s="17" t="inlineStr">
        <is>
          <t>Validated partial UPDATE of one wa_obs_question_catalogue row (bible_research.db) by obs_id. Every column except obs_id settable; auto-fills last_modified/catalogue_version if not given. No history table -- researcher's own call, escalation #1007.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-ObsId</t>
        </is>
      </c>
      <c r="D4" s="4" t="inlineStr">
        <is>
          <t>-Set</t>
        </is>
      </c>
      <c r="E4" s="4" t="inlineStr">
        <is>
          <t>-RunId</t>
        </is>
      </c>
      <c r="F4" s="4" t="inlineStr">
        <is>
          <t>-Trace</t>
        </is>
      </c>
      <c r="G4" s="4" t="n"/>
      <c r="H4" s="4" t="n"/>
      <c r="I4" s="4" t="n"/>
      <c r="J4" s="4" t="n"/>
    </row>
    <row r="5" ht="18.75" customFormat="1" customHeight="1" s="18">
      <c r="C5" s="17" t="inlineStr">
        <is>
          <t>REQUIRED. The wa_obs_question_catalogue row to update.</t>
        </is>
      </c>
      <c r="D5" s="17" t="inlineStr">
        <is>
          <t>REQUIRED. JSON object of column:value pairs, e.g. {"source":"verse_lexical.resolved_sense"}</t>
        </is>
      </c>
      <c r="E5" s="17" t="inlineStr">
        <is>
          <t>resume/re-tag a specific run</t>
        </is>
      </c>
      <c r="F5" s="17" t="n"/>
      <c r="G5" s="17" t="n"/>
      <c r="H5" s="17" t="n"/>
      <c r="I5" s="17" t="n"/>
    </row>
    <row r="6" ht="18.75" customFormat="1" customHeight="1" s="18">
      <c r="A6" s="18" t="inlineStr">
        <is>
          <t>iba\app\ps\Catalogue-Update.ps1</t>
        </is>
      </c>
      <c r="B6" s="5">
        <f>A6&amp;" "&amp;IF(C6="","",$C$4&amp;" "&amp;C6&amp;" ")&amp;IF(D6="","",$D$4&amp;" '"&amp;D6&amp;"' ")&amp;IF(E6="","",$E$4&amp;" '"&amp;E6&amp;"' ")&amp;IF(F6&lt;&gt;"",$F$4&amp;" ","")</f>
        <v/>
      </c>
    </row>
  </sheetData>
  <mergeCells count="1">
    <mergeCell ref="A2:J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0"/>
    <pageSetUpPr/>
  </sheetPr>
  <dimension ref="A1:G6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  <col width="13" customWidth="1" min="4" max="4"/>
    <col width="13" customWidth="1" min="5" max="5"/>
    <col width="13" customWidth="1" min="6" max="6"/>
  </cols>
  <sheetData>
    <row r="1" ht="18.75" customHeight="1">
      <c r="A1" s="1" t="inlineStr">
        <is>
          <t>BatchProgress.ps1</t>
        </is>
      </c>
    </row>
    <row r="2" ht="18.75" customFormat="1" customHeight="1" s="18">
      <c r="A2" s="17" t="inlineStr">
        <is>
          <t>Live progress monitor over run_batch -- resume/skip/crash-safeguard mechanism (#1756).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-FilterRunId</t>
        </is>
      </c>
      <c r="D4" s="4" t="inlineStr">
        <is>
          <t>-Step</t>
        </is>
      </c>
      <c r="E4" s="22" t="inlineStr">
        <is>
          <t>-SelectorKey</t>
        </is>
      </c>
      <c r="F4" s="22" t="inlineStr">
        <is>
          <t>-RunId</t>
        </is>
      </c>
      <c r="G4" t="inlineStr">
        <is>
          <t>-Trace</t>
        </is>
      </c>
    </row>
    <row r="5" ht="18.75" customFormat="1" customHeight="1" s="18">
      <c r="D5" s="17" t="n"/>
    </row>
    <row r="6" ht="18.75" customFormat="1" customHeight="1" s="18">
      <c r="A6" s="18" t="inlineStr">
        <is>
          <t>iba\app\ps\BatchProgress.ps1</t>
        </is>
      </c>
      <c r="B6" s="5">
        <f>A6&amp;" "&amp;IF(C6="","",$C$4&amp;" '"&amp;C6&amp;"' ")&amp;IF(D6="","",$D$4&amp;" '"&amp;D6&amp;"' ")&amp;IF(E6="","",$E$4&amp;" '"&amp;E6&amp;"' ")&amp;IF(F6="","",$F$4&amp;" '"&amp;F6&amp;"' ")&amp;IF(G6&lt;&gt;"",$G$4&amp;"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0"/>
    <pageSetUpPr/>
  </sheetPr>
  <dimension ref="A1:G6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  <col width="22" customWidth="1" min="4" max="4"/>
    <col width="22" customWidth="1" min="5" max="5"/>
    <col width="22" customWidth="1" min="6" max="6"/>
    <col width="22" customWidth="1" min="7" max="7"/>
  </cols>
  <sheetData>
    <row r="1" ht="18.75" customHeight="1">
      <c r="A1" s="1" t="inlineStr">
        <is>
          <t>CharAnswer.ps1</t>
        </is>
      </c>
    </row>
    <row r="2" ht="18.75" customFormat="1" customHeight="1" s="18">
      <c r="A2" s="17" t="inlineStr">
        <is>
          <t>Stage 4 (char-answers) -- answer the characteristic-grain question battery for one subgroup.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22" t="inlineStr">
        <is>
          <t>-ClusterCode</t>
        </is>
      </c>
      <c r="D4" s="22" t="inlineStr">
        <is>
          <t>-SubgroupCode</t>
        </is>
      </c>
      <c r="E4" s="22" t="inlineStr">
        <is>
          <t>-Live</t>
        </is>
      </c>
      <c r="F4" s="22" t="inlineStr">
        <is>
          <t>-RunId</t>
        </is>
      </c>
      <c r="G4" s="22" t="inlineStr">
        <is>
          <t>-Trace</t>
        </is>
      </c>
    </row>
    <row r="5" ht="18.75" customFormat="1" customHeight="1" s="18">
      <c r="D5" s="17" t="n"/>
    </row>
    <row r="6" ht="18.75" customFormat="1" customHeight="1" s="18">
      <c r="A6" s="18" t="inlineStr">
        <is>
          <t>iba\app\ps\CharAnswer.ps1</t>
        </is>
      </c>
      <c r="B6" s="5">
        <f>A6&amp;" "&amp;IF(C6="","",$C$4&amp;" '"&amp;C6&amp;"' ")&amp;IF(D6="","",$D$4&amp;" '"&amp;D6&amp;"' ")&amp;IF(E6&lt;&gt;"",$E$4&amp;" ","")&amp;IF(F6="","",$F$4&amp;" '"&amp;F6&amp;"' ")&amp;IF(G6&lt;&gt;"",$G$4&amp;"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0"/>
    <pageSetUpPr/>
  </sheetPr>
  <dimension ref="A1:G6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  <col width="22" customWidth="1" min="4" max="4"/>
    <col width="22" customWidth="1" min="5" max="5"/>
    <col width="22" customWidth="1" min="6" max="6"/>
    <col width="22" customWidth="1" min="7" max="7"/>
  </cols>
  <sheetData>
    <row r="1" ht="18.75" customHeight="1">
      <c r="A1" s="1" t="inlineStr">
        <is>
          <t>CharReading.ps1</t>
        </is>
      </c>
    </row>
    <row r="2" ht="18.75" customFormat="1" customHeight="1" s="18">
      <c r="A2" s="17" t="inlineStr">
        <is>
          <t>Stage 3 (char-reading) -- read one subgroup's member strongs corpus-wide, synergising meaning.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22" t="inlineStr">
        <is>
          <t>-ClusterCode</t>
        </is>
      </c>
      <c r="D4" s="22" t="inlineStr">
        <is>
          <t>-SubgroupCode</t>
        </is>
      </c>
      <c r="E4" s="22" t="inlineStr">
        <is>
          <t>-Live</t>
        </is>
      </c>
      <c r="F4" s="22" t="inlineStr">
        <is>
          <t>-RunId</t>
        </is>
      </c>
      <c r="G4" s="22" t="inlineStr">
        <is>
          <t>-Trace</t>
        </is>
      </c>
    </row>
    <row r="5" ht="18.75" customFormat="1" customHeight="1" s="18">
      <c r="D5" s="17" t="n"/>
    </row>
    <row r="6" ht="18.75" customFormat="1" customHeight="1" s="18">
      <c r="A6" s="18" t="inlineStr">
        <is>
          <t>iba\app\ps\CharReading.ps1</t>
        </is>
      </c>
      <c r="B6" s="5">
        <f>A6&amp;" "&amp;IF(C6="","",$C$4&amp;" '"&amp;C6&amp;"' ")&amp;IF(D6="","",$D$4&amp;" '"&amp;D6&amp;"' ")&amp;IF(E6&lt;&gt;"",$E$4&amp;" ","")&amp;IF(F6="","",$F$4&amp;" '"&amp;F6&amp;"' ")&amp;IF(G6&lt;&gt;"",$G$4&amp;"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0"/>
    <pageSetUpPr/>
  </sheetPr>
  <dimension ref="A1:F6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  <col width="22" customWidth="1" min="4" max="4"/>
    <col width="22" customWidth="1" min="5" max="5"/>
    <col width="22" customWidth="1" min="6" max="6"/>
  </cols>
  <sheetData>
    <row r="1" ht="18.75" customHeight="1">
      <c r="A1" s="1" t="inlineStr">
        <is>
          <t>ClusterSubgroup.ps1</t>
        </is>
      </c>
    </row>
    <row r="2" ht="18.75" customFormat="1" customHeight="1" s="18">
      <c r="A2" s="17" t="inlineStr">
        <is>
          <t>Stage 2 (char-subgroup) -- group a cluster's member strongs into meaning-based subgroups.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22" t="inlineStr">
        <is>
          <t>-ClusterCode</t>
        </is>
      </c>
      <c r="D4" s="22" t="inlineStr">
        <is>
          <t>-Live</t>
        </is>
      </c>
      <c r="E4" s="22" t="inlineStr">
        <is>
          <t>-RunId</t>
        </is>
      </c>
      <c r="F4" s="22" t="inlineStr">
        <is>
          <t>-Trace</t>
        </is>
      </c>
    </row>
    <row r="5" ht="18.75" customFormat="1" customHeight="1" s="18">
      <c r="D5" s="17" t="n"/>
    </row>
    <row r="6" ht="18.75" customFormat="1" customHeight="1" s="18">
      <c r="A6" s="18" t="inlineStr">
        <is>
          <t>iba\app\ps\ClusterSubgroup.ps1</t>
        </is>
      </c>
      <c r="B6" s="5">
        <f>A6&amp;" "&amp;IF(C6="","",$C$4&amp;" '"&amp;C6&amp;"' ")&amp;IF(D6&lt;&gt;"",$D$4&amp;" ","")&amp;IF(E6="","",$E$4&amp;" '"&amp;E6&amp;"' ")&amp;IF(F6&lt;&gt;"",$F$4&amp;"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0"/>
    <pageSetUpPr/>
  </sheetPr>
  <dimension ref="A1:H6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  <col width="22" customWidth="1" min="4" max="4"/>
    <col width="22" customWidth="1" min="5" max="5"/>
    <col width="22" customWidth="1" min="6" max="6"/>
  </cols>
  <sheetData>
    <row r="1" ht="18.75" customHeight="1">
      <c r="A1" s="24" t="inlineStr">
        <is>
          <t>VerseReading.ps1</t>
        </is>
      </c>
    </row>
    <row r="2" ht="18.75" customFormat="1" customHeight="1" s="18">
      <c r="A2" t="inlineStr">
        <is>
          <t>The `verse-reading` stage's WORD-LEVEL half (`lexical.meaning`, escalation #1706 Phase C pipeline stage 1; narrowed to word-level-only by the #1860 split, 2026-09-23) -- per-cluster, pre-subgroup Layer 2 pass answering M0.1 (Name and Naming) + M0.5 (Lexical and Semantic Analysis) only. Standalone single-step entry point onto the `verse-lexical` work package's `lexical.meaning` step (ordinal 6) -- this step didn't have a PS entry point until now, found live building this (`cfg_behaviour_rule` `every-interactive-module-needs-ps-script`). Run `RelationalReading.ps1` (`lexical.relational`) next for the same cluster once this has covered its verses -- the relational family (M0.6.5/M0.6.6/D7.7.1/M0.7/M0.8.1) moved there, with a readiness gate requiring this step's own output first.</t>
        </is>
      </c>
    </row>
    <row r="3" ht="18.75" customHeight="1"/>
    <row r="4" ht="18.75" customHeight="1">
      <c r="A4" s="25" t="inlineStr">
        <is>
          <t>script</t>
        </is>
      </c>
      <c r="B4" s="25" t="inlineStr">
        <is>
          <t>compiled command (copy/paste)</t>
        </is>
      </c>
      <c r="C4" s="25" t="inlineStr">
        <is>
          <t>-ClusterCode</t>
        </is>
      </c>
      <c r="D4" s="25" t="inlineStr">
        <is>
          <t>-VerseList</t>
        </is>
      </c>
      <c r="E4" s="25" t="inlineStr">
        <is>
          <t>-Live</t>
        </is>
      </c>
      <c r="F4" s="25" t="inlineStr">
        <is>
          <t>-Force</t>
        </is>
      </c>
      <c r="G4" s="25" t="inlineStr">
        <is>
          <t>-RunId</t>
        </is>
      </c>
      <c r="H4" s="25" t="inlineStr">
        <is>
          <t>-Trace</t>
        </is>
      </c>
    </row>
    <row r="5" ht="18.75" customFormat="1" customHeight="1" s="18">
      <c r="E5" t="inlineStr">
        <is>
          <t>switch (x to set)</t>
        </is>
      </c>
      <c r="F5" t="inlineStr">
        <is>
          <t>switch (x to set)</t>
        </is>
      </c>
      <c r="H5" t="inlineStr">
        <is>
          <t>switch (x to set)</t>
        </is>
      </c>
    </row>
    <row r="6" ht="18.75" customFormat="1" customHeight="1" s="18">
      <c r="A6" t="inlineStr">
        <is>
          <t>iba\app\ps\VerseReading.ps1</t>
        </is>
      </c>
      <c r="B6">
        <f>A6&amp;" "&amp;IF(C6="","",$C$4&amp;" '"&amp;C6&amp;"' ")&amp;IF(D6="","",$D$4&amp;" '"&amp;D6&amp;"' ")&amp;IF(E6&lt;&gt;"",$E$4&amp;" ","")&amp;IF(F6&lt;&gt;"",$F$4&amp;" ","")&amp;IF(G6="","",$G$4&amp;" '"&amp;G6&amp;"' ")&amp;IF(H6&lt;&gt;"",$H$4&amp;"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0"/>
    <pageSetUpPr/>
  </sheetPr>
  <dimension ref="A1:F6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Lexical-Readiness.ps1</t>
        </is>
      </c>
    </row>
    <row r="2" ht="18.75" customFormat="1" customHeight="1" s="18">
      <c r="A2" s="17" t="inlineStr">
        <is>
          <t>Lexical readiness check (lexical.readiness).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22" t="inlineStr">
        <is>
          <t>-Trace</t>
        </is>
      </c>
      <c r="D4" s="4" t="n"/>
      <c r="E4" s="4" t="n"/>
      <c r="F4" s="4" t="n"/>
    </row>
    <row r="5" ht="18.75" customFormat="1" customHeight="1" s="18">
      <c r="D5" s="17" t="n"/>
    </row>
    <row r="6" ht="18.75" customFormat="1" customHeight="1" s="18">
      <c r="A6" s="18" t="inlineStr">
        <is>
          <t>iba\app\ps\Lexical-Readiness.ps1</t>
        </is>
      </c>
      <c r="B6" s="5">
        <f>A6&amp;" "&amp;IF(C6&lt;&gt;"",$C$4&amp;"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0"/>
    <pageSetUpPr/>
  </sheetPr>
  <dimension ref="A1:F6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  <col width="22" customWidth="1" min="4" max="4"/>
    <col width="22" customWidth="1" min="5" max="5"/>
    <col width="22" customWidth="1" min="6" max="6"/>
  </cols>
  <sheetData>
    <row r="1" ht="18.75" customHeight="1">
      <c r="A1" s="1" t="inlineStr">
        <is>
          <t>VerseMeta.ps1</t>
        </is>
      </c>
    </row>
    <row r="2" ht="18.75" customFormat="1" customHeight="1" s="18">
      <c r="A2" s="17" t="inlineStr">
        <is>
          <t>Verse-level metadata operations (currently: SetStatus).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22" t="inlineStr">
        <is>
          <t>-Step</t>
        </is>
      </c>
      <c r="D4" s="22" t="inlineStr">
        <is>
          <t>-References</t>
        </is>
      </c>
      <c r="E4" s="22" t="inlineStr">
        <is>
          <t>-Status</t>
        </is>
      </c>
      <c r="F4" s="22" t="inlineStr">
        <is>
          <t>-Trace</t>
        </is>
      </c>
    </row>
    <row r="5" ht="18.75" customFormat="1" customHeight="1" s="18">
      <c r="D5" s="17" t="n"/>
    </row>
    <row r="6" ht="18.75" customFormat="1" customHeight="1" s="18">
      <c r="A6" s="18" t="inlineStr">
        <is>
          <t>iba\app\ps\VerseMeta.ps1</t>
        </is>
      </c>
      <c r="B6" s="5">
        <f>A6&amp;" "&amp;IF(C6="","",$C$4&amp;" "&amp;C6&amp;" ")&amp;IF(D6="","",$D$4&amp;" '"&amp;D6&amp;"' ")&amp;IF(E6="","",$E$4&amp;" '"&amp;E6&amp;"' ")&amp;IF(F6&lt;&gt;"",$F$4&amp;"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0"/>
    <pageSetUpPr/>
  </sheetPr>
  <dimension ref="A1:G6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24" t="inlineStr">
        <is>
          <t>Purge-SoftDeletes.ps1</t>
        </is>
      </c>
    </row>
    <row r="2" ht="18.75" customFormat="1" customHeight="1" s="18">
      <c r="A2" t="inlineStr">
        <is>
          <t>The soft-delete purge audit + execute + database retirement -- app-wide, both databases (escalation #1766/#1868/#1872/#1873). Standalone work package (chained=0 -- each action is an independent step you invoke separately, not a pipeline).</t>
        </is>
      </c>
    </row>
    <row r="3" ht="18.75" customHeight="1"/>
    <row r="4" ht="18.75" customHeight="1">
      <c r="A4" s="25" t="inlineStr">
        <is>
          <t>script</t>
        </is>
      </c>
      <c r="B4" s="25" t="inlineStr">
        <is>
          <t>compiled command (copy/paste)</t>
        </is>
      </c>
      <c r="C4" s="25" t="inlineStr">
        <is>
          <t>-Action</t>
        </is>
      </c>
      <c r="D4" s="25" t="inlineStr">
        <is>
          <t>-Live</t>
        </is>
      </c>
      <c r="E4" s="25" t="inlineStr">
        <is>
          <t>-Database</t>
        </is>
      </c>
      <c r="F4" s="25" t="inlineStr">
        <is>
          <t>-RunId</t>
        </is>
      </c>
      <c r="G4" s="25" t="inlineStr">
        <is>
          <t>-Trace</t>
        </is>
      </c>
    </row>
    <row r="5" ht="18.75" customHeight="1">
      <c r="D5" t="inlineStr">
        <is>
          <t>switch (x to set)</t>
        </is>
      </c>
      <c r="G5" t="inlineStr">
        <is>
          <t>switch (x to set)</t>
        </is>
      </c>
    </row>
    <row r="6" ht="18.75" customFormat="1" customHeight="1" s="18">
      <c r="A6" t="inlineStr">
        <is>
          <t>iba\app\ps\Purge-SoftDeletes.ps1</t>
        </is>
      </c>
      <c r="B6">
        <f>A6&amp;" "&amp;IF(C6="","",$C$4&amp;" "&amp;C6&amp;" ")&amp;IF(D6&lt;&gt;"",$D$4&amp;" ","")&amp;IF(E6="","",$E$4&amp;" '"&amp;E6&amp;"' ")&amp;IF(F6="","",$F$4&amp;" '"&amp;F6&amp;"' ")&amp;IF(G6&lt;&gt;"",$G$4&amp;"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22" customWidth="1" min="3" max="3"/>
    <col width="22" customWidth="1" min="4" max="4"/>
    <col width="13" customWidth="1" min="5" max="5"/>
    <col width="13" customWidth="1" min="6" max="6"/>
  </cols>
  <sheetData>
    <row r="1" ht="18.75" customHeight="1">
      <c r="A1" s="1" t="inlineStr">
        <is>
          <t>Observation-Enhancer.ps1</t>
        </is>
      </c>
    </row>
    <row r="2" ht="18.75" customHeight="1">
      <c r="A2" s="17" t="inlineStr">
        <is>
          <t>Apply a researcher-confirmed cfg_observation_enhancer_rule to ib_observation (selector + update, logged to ib_observation_enhancer_log). Rules are authored/confirmed via Config-Maintenance.ps1 -Step Propose against cfg_observation_enhancer_rule -- not a separate add/confirm command here (escalation #1778).</t>
        </is>
      </c>
    </row>
    <row r="3" ht="18.75" customHeight="1"/>
    <row r="4" ht="18.75" customHeight="1">
      <c r="A4" s="22" t="inlineStr">
        <is>
          <t>script</t>
        </is>
      </c>
      <c r="B4" s="22" t="inlineStr">
        <is>
          <t>compiled command (copy/paste)</t>
        </is>
      </c>
      <c r="C4" s="22" t="inlineStr">
        <is>
          <t>-Action</t>
        </is>
      </c>
      <c r="D4" s="22" t="inlineStr">
        <is>
          <t>-RuleKey</t>
        </is>
      </c>
      <c r="E4" s="22" t="inlineStr">
        <is>
          <t>-RunId</t>
        </is>
      </c>
      <c r="F4" s="22" t="inlineStr">
        <is>
          <t>-Trace</t>
        </is>
      </c>
    </row>
    <row r="5" ht="18.75" customHeight="1">
      <c r="C5" s="17" t="inlineStr">
        <is>
          <t>Preview | Apply</t>
        </is>
      </c>
      <c r="D5" s="17" t="inlineStr">
        <is>
          <t>cfg_observation_enhancer_rule.rule_key to run</t>
        </is>
      </c>
      <c r="E5" s="17" t="inlineStr">
        <is>
          <t>resume a specific run</t>
        </is>
      </c>
      <c r="F5" s="17" t="inlineStr">
        <is>
          <t>print every config read</t>
        </is>
      </c>
    </row>
    <row r="6" ht="18.75" customHeight="1">
      <c r="A6" s="20" t="inlineStr">
        <is>
          <t>iba/app/ps/Observation-Enhancer.ps1</t>
        </is>
      </c>
      <c r="B6" s="5">
        <f>A6&amp;" "&amp;IF(C6="","",$C$4&amp;" '"&amp;C6&amp;"' ")&amp;IF(D6="","",$D$4&amp;" '"&amp;D6&amp;"' ")&amp;IF(E6="","",$E$4&amp;" '"&amp;E6&amp;"' ")&amp;IF(F6&lt;&gt;"",$F$4&amp;" ","")</f>
        <v/>
      </c>
      <c r="C6" s="23" t="n"/>
      <c r="D6" s="23" t="n"/>
      <c r="E6" s="23" t="n"/>
      <c r="F6" s="23" t="n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24" t="inlineStr">
        <is>
          <t>Session-Close.ps1</t>
        </is>
      </c>
    </row>
    <row r="2" ht="18.75" customFormat="1" customHeight="1" s="18">
      <c r="A2" t="inlineStr">
        <is>
          <t>Session-close detection (escalation #1875; rebuilt #2173, SC1-SC14): session and window, spine (FATAL first), researcher's words recorded, open items in the register, analysis integrity, rule compliance evidence, session log, decisions' targets, BUILD.md coverage, publish flags.</t>
        </is>
      </c>
    </row>
    <row r="3" ht="18.75" customHeight="1"/>
    <row r="4" ht="18.75" customHeight="1">
      <c r="A4" s="25" t="inlineStr">
        <is>
          <t>script</t>
        </is>
      </c>
      <c r="B4" s="25" t="inlineStr">
        <is>
          <t>compiled command (copy/paste)</t>
        </is>
      </c>
      <c r="C4" s="25" t="inlineStr">
        <is>
          <t>-RunId</t>
        </is>
      </c>
      <c r="D4" s="25" t="inlineStr">
        <is>
          <t>-Trace</t>
        </is>
      </c>
    </row>
    <row r="5" ht="18.75" customHeight="1">
      <c r="D5" t="inlineStr">
        <is>
          <t>switch (x to set)</t>
        </is>
      </c>
    </row>
    <row r="6" ht="18.75" customFormat="1" customHeight="1" s="18">
      <c r="A6" t="inlineStr">
        <is>
          <t>iba\app\ps\Session-Close.ps1</t>
        </is>
      </c>
      <c r="B6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0"/>
    <pageSetUpPr/>
  </sheetPr>
  <dimension ref="A1:AT6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10"/>
    <col width="13" customWidth="1" min="7" max="7"/>
    <col width="13" customWidth="1" min="8" max="8"/>
  </cols>
  <sheetData>
    <row r="1" ht="18.75" customHeight="1">
      <c r="A1" s="24" t="inlineStr">
        <is>
          <t>Narrative-Register.ps1</t>
        </is>
      </c>
    </row>
    <row r="2" ht="18.75" customFormat="1" customHeight="1" s="18">
      <c r="A2" t="inlineStr">
        <is>
          <t>The narrative claim register in iba.db (escalation #2110): add and edit claims, link them to the blocks that tell them, search, show a claim's history, check the chapters against the database, and publish the three register files. The narrative itself is written through Strand-Reading.ps1 -Step Rewrite (#2172). Every action dispatches through run.py, work package narrative-register.</t>
        </is>
      </c>
    </row>
    <row r="3" ht="18.75" customHeight="1"/>
    <row r="4" ht="18.75" customHeight="1">
      <c r="A4" s="25" t="inlineStr">
        <is>
          <t>script</t>
        </is>
      </c>
      <c r="B4" s="25" t="inlineStr">
        <is>
          <t>compiled command (copy/paste)</t>
        </is>
      </c>
      <c r="C4" s="25" t="inlineStr">
        <is>
          <t>-Action</t>
        </is>
      </c>
      <c r="D4" s="25" t="inlineStr">
        <is>
          <t>-By</t>
        </is>
      </c>
      <c r="E4" s="25" t="inlineStr">
        <is>
          <t>-Claim</t>
        </is>
      </c>
      <c r="F4" s="25" t="inlineStr">
        <is>
          <t>-ClaimRef</t>
        </is>
      </c>
      <c r="G4" s="25" t="inlineStr">
        <is>
          <t>-Text</t>
        </is>
      </c>
      <c r="H4" s="25" t="inlineStr">
        <is>
          <t>-BeyondText</t>
        </is>
      </c>
      <c r="I4" s="25" t="inlineStr">
        <is>
          <t>-Source</t>
        </is>
      </c>
      <c r="J4" s="25" t="inlineStr">
        <is>
          <t>-Origin</t>
        </is>
      </c>
      <c r="K4" s="25" t="inlineStr">
        <is>
          <t>-Verdict</t>
        </is>
      </c>
      <c r="L4" s="25" t="inlineStr">
        <is>
          <t>-Status</t>
        </is>
      </c>
      <c r="M4" s="25" t="inlineStr">
        <is>
          <t>-IRead</t>
        </is>
      </c>
      <c r="N4" s="25" t="inlineStr">
        <is>
          <t>-MainChapter</t>
        </is>
      </c>
      <c r="O4" s="25" t="inlineStr">
        <is>
          <t>-MainSection</t>
        </is>
      </c>
      <c r="P4" s="25" t="inlineStr">
        <is>
          <t>-Chapter</t>
        </is>
      </c>
      <c r="Q4" s="25" t="inlineStr">
        <is>
          <t>-Section</t>
        </is>
      </c>
      <c r="R4" s="25" t="inlineStr">
        <is>
          <t>-Kind</t>
        </is>
      </c>
      <c r="S4" s="25" t="inlineStr">
        <is>
          <t>-Part</t>
        </is>
      </c>
      <c r="T4" s="25" t="inlineStr">
        <is>
          <t>-Heading</t>
        </is>
      </c>
      <c r="U4" s="25" t="inlineStr">
        <is>
          <t>-NewHeading</t>
        </is>
      </c>
      <c r="V4" s="25" t="inlineStr">
        <is>
          <t>-Ordinal</t>
        </is>
      </c>
      <c r="W4" s="25" t="inlineStr">
        <is>
          <t>-Level</t>
        </is>
      </c>
      <c r="X4" s="25" t="inlineStr">
        <is>
          <t>-LastVersion</t>
        </is>
      </c>
      <c r="Y4" s="25" t="inlineStr">
        <is>
          <t>-NewNumber</t>
        </is>
      </c>
      <c r="Z4" s="25" t="inlineStr">
        <is>
          <t>-Title</t>
        </is>
      </c>
      <c r="AA4" s="25" t="inlineStr">
        <is>
          <t>-State</t>
        </is>
      </c>
      <c r="AB4" s="25" t="inlineStr">
        <is>
          <t>-CurrentFile</t>
        </is>
      </c>
      <c r="AC4" s="25" t="inlineStr">
        <is>
          <t>-CurrentVersion</t>
        </is>
      </c>
      <c r="AD4" s="25" t="inlineStr">
        <is>
          <t>-ReadingOrder</t>
        </is>
      </c>
      <c r="AE4" s="25" t="inlineStr">
        <is>
          <t>-Inactive</t>
        </is>
      </c>
      <c r="AF4" s="25" t="inlineStr">
        <is>
          <t>-Purpose</t>
        </is>
      </c>
      <c r="AG4" s="25" t="inlineStr">
        <is>
          <t>-PurposeRef</t>
        </is>
      </c>
      <c r="AH4" s="25" t="inlineStr">
        <is>
          <t>-After</t>
        </is>
      </c>
      <c r="AI4" s="25" t="inlineStr">
        <is>
          <t>-BuiltFrom</t>
        </is>
      </c>
      <c r="AJ4" s="25" t="inlineStr">
        <is>
          <t>-FileStem</t>
        </is>
      </c>
      <c r="AK4" s="25" t="inlineStr">
        <is>
          <t>-File</t>
        </is>
      </c>
      <c r="AL4" s="25" t="inlineStr">
        <is>
          <t>-Note</t>
        </is>
      </c>
      <c r="AM4" s="25" t="inlineStr">
        <is>
          <t>-Against</t>
        </is>
      </c>
      <c r="AN4" s="25" t="inlineStr">
        <is>
          <t>-Verse</t>
        </is>
      </c>
      <c r="AO4" s="25" t="inlineStr">
        <is>
          <t>-Escalation</t>
        </is>
      </c>
      <c r="AP4" s="25" t="inlineStr">
        <is>
          <t>-Thread</t>
        </is>
      </c>
      <c r="AQ4" s="25" t="inlineStr">
        <is>
          <t>-NotInNarrative</t>
        </is>
      </c>
      <c r="AR4" s="25" t="inlineStr">
        <is>
          <t>-ToldInMoreThanOne</t>
        </is>
      </c>
      <c r="AS4" s="25" t="inlineStr">
        <is>
          <t>-Trace</t>
        </is>
      </c>
      <c r="AT4" s="25" t="n"/>
    </row>
    <row r="5" ht="18.75" customFormat="1" customHeight="1" s="18">
      <c r="C5" t="inlineStr">
        <is>
          <t>AddClaim|Edit|Tell|Untell|Withdraw|EditNote|AddChapter|EditChapter|EditSection|Find|History|Check|Export|QuoteCheck</t>
        </is>
      </c>
      <c r="D5" t="inlineStr">
        <is>
          <t>Claude|Researcher (write actions)</t>
        </is>
      </c>
      <c r="E5" t="inlineStr">
        <is>
          <t>claim ref, e.g. C-412 or K-2</t>
        </is>
      </c>
      <c r="F5" t="inlineStr">
        <is>
          <t>AddClaim: keep a given ref (original claims)</t>
        </is>
      </c>
      <c r="G5" t="inlineStr">
        <is>
          <t>the claim in its own wording / Find: text search / EditNote: block text</t>
        </is>
      </c>
      <c r="H5" t="inlineStr">
        <is>
          <t>what the claim adds to its sources</t>
        </is>
      </c>
      <c r="I5" t="inlineStr">
        <is>
          <t>verse refs and kind: text, e.g. Rom 7:15-21; lexical: kaas (anger)</t>
        </is>
      </c>
      <c r="J5" t="inlineStr">
        <is>
          <t>narrative|original essay</t>
        </is>
      </c>
      <c r="K5" t="inlineStr">
        <is>
          <t>Stands|Widened|Restated|Withdrawn|Held|Added|New|Removed|Corrected</t>
        </is>
      </c>
      <c r="L5" t="inlineStr">
        <is>
          <t>current|withdrawn|held</t>
        </is>
      </c>
      <c r="M5" t="inlineStr">
        <is>
          <t>0|1</t>
        </is>
      </c>
      <c r="N5" t="inlineStr">
        <is>
          <t>e.g. 10.1</t>
        </is>
      </c>
      <c r="O5" t="inlineStr">
        <is>
          <t>heading text</t>
        </is>
      </c>
      <c r="P5" t="inlineStr">
        <is>
          <t>e.g. 10.1 or 2</t>
        </is>
      </c>
      <c r="Q5" t="inlineStr">
        <is>
          <t>a block: its heading, or 'Parent &gt; Heading' where a heading repeats</t>
        </is>
      </c>
      <c r="R5" t="inlineStr">
        <is>
          <t>in full|in part|pointer</t>
        </is>
      </c>
      <c r="S5" t="inlineStr">
        <is>
          <t>which part of the claim the block tells</t>
        </is>
      </c>
      <c r="T5" t="inlineStr">
        <is>
          <t>EditNote: block heading</t>
        </is>
      </c>
      <c r="U5" t="inlineStr">
        <is>
          <t>EditNote/EditSection: new heading</t>
        </is>
      </c>
      <c r="V5" t="inlineStr">
        <is>
          <t>order</t>
        </is>
      </c>
      <c r="W5" t="inlineStr">
        <is>
          <t>EditSection: 2-4</t>
        </is>
      </c>
      <c r="X5" t="inlineStr">
        <is>
          <t>EditSection: last chapter version</t>
        </is>
      </c>
      <c r="Y5" t="inlineStr">
        <is>
          <t>EditChapter: new chapter number</t>
        </is>
      </c>
      <c r="Z5" t="inlineStr">
        <is>
          <t>EditChapter: title</t>
        </is>
      </c>
      <c r="AA5" t="inlineStr">
        <is>
          <t>draft|draft + held|empty|deferred</t>
        </is>
      </c>
      <c r="AB5" t="inlineStr">
        <is>
          <t>EditChapter: file name</t>
        </is>
      </c>
      <c r="AC5" t="inlineStr">
        <is>
          <t>EditChapter: version</t>
        </is>
      </c>
      <c r="AD5" t="inlineStr">
        <is>
          <t>EditChapter: order in the book</t>
        </is>
      </c>
      <c r="AE5" t="inlineStr">
        <is>
          <t>0|1</t>
        </is>
      </c>
      <c r="AF5" t="inlineStr">
        <is>
          <t>AddChapter/EditChapter: what the chapter is for</t>
        </is>
      </c>
      <c r="AG5" t="inlineStr">
        <is>
          <t>the ruling, e.g. #2155</t>
        </is>
      </c>
      <c r="AH5" t="inlineStr">
        <is>
          <t>AddChapter/EditChapter: the chapter before</t>
        </is>
      </c>
      <c r="AI5" t="inlineStr">
        <is>
          <t>AddChapter</t>
        </is>
      </c>
      <c r="AJ5" t="inlineStr">
        <is>
          <t>AddChapter</t>
        </is>
      </c>
      <c r="AK5" t="inlineStr">
        <is>
          <t>QuoteCheck: the chapter file</t>
        </is>
      </c>
      <c r="AL5" t="inlineStr">
        <is>
          <t>a remark kept on the change rows</t>
        </is>
      </c>
      <c r="AM5" t="inlineStr">
        <is>
          <t>QuoteCheck: the previous version</t>
        </is>
      </c>
      <c r="AN5" t="inlineStr">
        <is>
          <t>Find: a verse reference</t>
        </is>
      </c>
      <c r="AO5" t="inlineStr">
        <is>
          <t>Find: escalation id</t>
        </is>
      </c>
      <c r="AP5" t="inlineStr">
        <is>
          <t>Find: OT-nn</t>
        </is>
      </c>
      <c r="AQ5" t="inlineStr">
        <is>
          <t>Find: switch (x to set)</t>
        </is>
      </c>
      <c r="AR5" t="inlineStr">
        <is>
          <t>Find: switch (x to set)</t>
        </is>
      </c>
      <c r="AS5" t="inlineStr">
        <is>
          <t>switch (x to set)</t>
        </is>
      </c>
    </row>
    <row r="6" ht="18.75" customFormat="1" customHeight="1" s="18">
      <c r="A6" t="inlineStr">
        <is>
          <t>iba\app\ps\Narrative-Register.ps1</t>
        </is>
      </c>
      <c r="B6">
        <f>A6&amp;" "&amp;IF(C6="","",$C$4&amp;" "&amp;C6&amp;" ")&amp;IF(D6="","",$D$4&amp;" "&amp;D6&amp;" ")&amp;IF(E6="","",$E$4&amp;" '"&amp;E6&amp;"' ")&amp;IF(F6="","",$F$4&amp;" '"&amp;F6&amp;"' ")&amp;IF(G6="","",$G$4&amp;" '"&amp;G6&amp;"' ")&amp;IF(H6="","",$H$4&amp;" '"&amp;H6&amp;"' ")&amp;IF(I6="","",$I$4&amp;" '"&amp;I6&amp;"' ")&amp;IF(J6="","",$J$4&amp;" '"&amp;J6&amp;"' ")&amp;IF(K6="","",$K$4&amp;" '"&amp;K6&amp;"' ")&amp;IF(L6="","",$L$4&amp;" '"&amp;L6&amp;"' ")&amp;IF(M6="","",$M$4&amp;" '"&amp;M6&amp;"' ")&amp;IF(N6="","",$N$4&amp;" '"&amp;N6&amp;"' ")&amp;IF(O6="","",$O$4&amp;" '"&amp;O6&amp;"' ")&amp;IF(P6="","",$P$4&amp;" '"&amp;P6&amp;"' ")&amp;IF(Q6="","",$Q$4&amp;" '"&amp;Q6&amp;"' ")&amp;IF(R6="","",$R$4&amp;" '"&amp;R6&amp;"' ")&amp;IF(S6="","",$S$4&amp;" '"&amp;S6&amp;"' ")&amp;IF(T6="","",$T$4&amp;" '"&amp;T6&amp;"' ")&amp;IF(U6="","",$U$4&amp;" '"&amp;U6&amp;"' ")&amp;IF(V6="","",$V$4&amp;" '"&amp;V6&amp;"' ")&amp;IF(W6="","",$W$4&amp;" '"&amp;W6&amp;"' ")&amp;IF(X6="","",$X$4&amp;" '"&amp;X6&amp;"' ")&amp;IF(Y6="","",$Y$4&amp;" '"&amp;Y6&amp;"' ")&amp;IF(Z6="","",$Z$4&amp;" '"&amp;Z6&amp;"' ")&amp;IF(AA6="","",$AA$4&amp;" '"&amp;AA6&amp;"' ")&amp;IF(AB6="","",$AB$4&amp;" '"&amp;AB6&amp;"' ")&amp;IF(AC6="","",$AC$4&amp;" '"&amp;AC6&amp;"' ")&amp;IF(AD6="","",$AD$4&amp;" '"&amp;AD6&amp;"' ")&amp;IF(AE6="","",$AE$4&amp;" '"&amp;AE6&amp;"' ")&amp;IF(AF6="","",$AF$4&amp;" '"&amp;AF6&amp;"' ")&amp;IF(AG6="","",$AG$4&amp;" '"&amp;AG6&amp;"' ")&amp;IF(AH6="","",$AH$4&amp;" '"&amp;AH6&amp;"' ")&amp;IF(AI6="","",$AI$4&amp;" '"&amp;AI6&amp;"' ")&amp;IF(AJ6="","",$AJ$4&amp;" '"&amp;AJ6&amp;"' ")&amp;IF(AK6="","",$AK$4&amp;" '"&amp;AK6&amp;"' ")&amp;IF(AL6="","",$AL$4&amp;" '"&amp;AL6&amp;"' ")&amp;IF(AM6="","",$AM$4&amp;" '"&amp;AM6&amp;"' ")&amp;IF(AN6="","",$AN$4&amp;" '"&amp;AN6&amp;"' ")&amp;IF(AO6="","",$AO$4&amp;" '"&amp;AO6&amp;"' ")&amp;IF(AP6="","",$AP$4&amp;" '"&amp;AP6&amp;"' ")&amp;IF(AQ6&lt;&gt;"",$AQ$4&amp;" ","")&amp;IF(AR6&lt;&gt;"",$AR$4&amp;" ","")&amp;IF(AS6&lt;&gt;"",$AS$4&amp;" ","")</f>
        <v/>
      </c>
    </row>
  </sheetData>
  <mergeCells count="1">
    <mergeCell ref="A2:J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Strand-Reading.ps1</t>
        </is>
      </c>
    </row>
    <row r="2">
      <c r="A2" t="inlineStr">
        <is>
          <t>RETIRED 2026-10-23 (#2228 D-a): superseded by Reading.ps1; the script is in iba/app/ps/archive/. The reading process (escalation #2172): a strand defined, then context, record, gather, map, derive, rewrite and account. Every step dispatches through run.py, work package strand-reading; the JSON shapes are in lib/strandreading.py.</t>
        </is>
      </c>
    </row>
    <row r="4">
      <c r="A4" t="inlineStr">
        <is>
          <t>script</t>
        </is>
      </c>
      <c r="B4" t="inlineStr">
        <is>
          <t>compiled command (copy/paste)</t>
        </is>
      </c>
      <c r="C4" t="inlineStr">
        <is>
          <t>-Step</t>
        </is>
      </c>
      <c r="D4" t="inlineStr">
        <is>
          <t>-Strand</t>
        </is>
      </c>
      <c r="E4" t="inlineStr">
        <is>
          <t>-By</t>
        </is>
      </c>
      <c r="F4" t="inlineStr">
        <is>
          <t>-Title</t>
        </is>
      </c>
      <c r="G4" t="inlineStr">
        <is>
          <t>-Cluster</t>
        </is>
      </c>
      <c r="H4" t="inlineStr">
        <is>
          <t>-Escalation</t>
        </is>
      </c>
      <c r="I4" t="inlineStr">
        <is>
          <t>-Strongs</t>
        </is>
      </c>
      <c r="J4" t="inlineStr">
        <is>
          <t>-Note</t>
        </is>
      </c>
      <c r="K4" t="inlineStr">
        <is>
          <t>-File</t>
        </is>
      </c>
      <c r="L4" t="inlineStr">
        <is>
          <t>-Trace</t>
        </is>
      </c>
    </row>
    <row r="5">
      <c r="C5" t="inlineStr">
        <is>
          <t>Define|Context|Record|Gather|Map|Derive|Rewrite|Account</t>
        </is>
      </c>
      <c r="D5" t="inlineStr">
        <is>
          <t>the strand's code, e.g. flesh-body</t>
        </is>
      </c>
      <c r="E5" t="inlineStr">
        <is>
          <t>Claude|Researcher (Define, Context, Record, Map, Derive, Rewrite)</t>
        </is>
      </c>
      <c r="F5" t="inlineStr">
        <is>
          <t>Define: the strand in words</t>
        </is>
      </c>
      <c r="G5" t="inlineStr">
        <is>
          <t>Define: home cluster, e.g. M48</t>
        </is>
      </c>
      <c r="H5" t="inlineStr">
        <is>
          <t>Define: the strand's escalation id</t>
        </is>
      </c>
      <c r="I5" t="inlineStr">
        <is>
          <t>Define: comma-separated exact codes, e.g. H1320,G4561</t>
        </is>
      </c>
      <c r="J5" t="inlineStr">
        <is>
          <t>Define: a note on the strand or its words</t>
        </is>
      </c>
      <c r="K5" t="inlineStr">
        <is>
          <t>Record/Map/Derive/Rewrite: the step's JSON</t>
        </is>
      </c>
      <c r="L5" t="inlineStr">
        <is>
          <t>switch (x to set)</t>
        </is>
      </c>
    </row>
    <row r="6">
      <c r="A6" t="inlineStr">
        <is>
          <t>iba\app\ps\archive\Strand-Reading.ps1</t>
        </is>
      </c>
      <c r="B6">
        <f>A6&amp;" "&amp;IF(C6="","",$C$4&amp;" "&amp;C6&amp;" ")&amp;IF(D6="","",$D$4&amp;" '"&amp;D6&amp;"' ")&amp;IF(E6="","",$E$4&amp;" "&amp;E6&amp;" ")&amp;IF(F6="","",$F$4&amp;" '"&amp;F6&amp;"' ")&amp;IF(G6="","",$G$4&amp;" '"&amp;G6&amp;"' ")&amp;IF(H6="","",$H$4&amp;" '"&amp;H6&amp;"' ")&amp;IF(I6="","",$I$4&amp;" '"&amp;I6&amp;"' ")&amp;IF(J6="","",$J$4&amp;" '"&amp;J6&amp;"' ")&amp;IF(K6="","",$K$4&amp;" '"&amp;K6&amp;"' ")&amp;IF(L6&lt;&gt;"",$L$4&amp;" ","")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Verse-Scope.ps1</t>
        </is>
      </c>
    </row>
    <row r="2">
      <c r="A2" t="inlineStr">
        <is>
          <t>The scope resolver (escalation #2228): any request -&gt; the collection of verses as a JSON file under verse_scope.output_dir. Selectors are combined as a union; a bare Strong's code is decomposed to its derivatives; -OnlyStrong narrows the result. Reads only; dispatches through run.py, work package verse-scope.</t>
        </is>
      </c>
    </row>
    <row r="4">
      <c r="A4" t="inlineStr">
        <is>
          <t>script</t>
        </is>
      </c>
      <c r="B4" t="inlineStr">
        <is>
          <t>compiled command (copy/paste)</t>
        </is>
      </c>
      <c r="C4" t="inlineStr">
        <is>
          <t>-Label</t>
        </is>
      </c>
      <c r="D4" t="inlineStr">
        <is>
          <t>-Cluster</t>
        </is>
      </c>
      <c r="E4" t="inlineStr">
        <is>
          <t>-Subgroup</t>
        </is>
      </c>
      <c r="F4" t="inlineStr">
        <is>
          <t>-Strand</t>
        </is>
      </c>
      <c r="G4" t="inlineStr">
        <is>
          <t>-Word</t>
        </is>
      </c>
      <c r="H4" t="inlineStr">
        <is>
          <t>-Strong</t>
        </is>
      </c>
      <c r="I4" t="inlineStr">
        <is>
          <t>-Verse</t>
        </is>
      </c>
      <c r="J4" t="inlineStr">
        <is>
          <t>-Chapter</t>
        </is>
      </c>
      <c r="K4" t="inlineStr">
        <is>
          <t>-Section</t>
        </is>
      </c>
      <c r="L4" t="inlineStr">
        <is>
          <t>-Claim</t>
        </is>
      </c>
      <c r="M4" t="inlineStr">
        <is>
          <t>-Observation</t>
        </is>
      </c>
      <c r="N4" t="inlineStr">
        <is>
          <t>-Item</t>
        </is>
      </c>
      <c r="O4" t="inlineStr">
        <is>
          <t>-Thread</t>
        </is>
      </c>
      <c r="P4" t="inlineStr">
        <is>
          <t>-File</t>
        </is>
      </c>
      <c r="Q4" t="inlineStr">
        <is>
          <t>-OnlyStrong</t>
        </is>
      </c>
      <c r="R4" t="inlineStr">
        <is>
          <t>-Reviewed</t>
        </is>
      </c>
      <c r="S4" t="inlineStr">
        <is>
          <t>-Trace</t>
        </is>
      </c>
    </row>
    <row r="5">
      <c r="C5" t="inlineStr">
        <is>
          <t>names the output file(s), e.g. anger-bosom</t>
        </is>
      </c>
      <c r="D5" t="inlineStr">
        <is>
          <t>e.g. M02 or M02,M01</t>
        </is>
      </c>
      <c r="E5" t="inlineStr">
        <is>
          <t>a cluster subgroup code</t>
        </is>
      </c>
      <c r="F5" t="inlineStr">
        <is>
          <t>a strand code, e.g. anger</t>
        </is>
      </c>
      <c r="G5" t="inlineStr">
        <is>
          <t>a word_registry word</t>
        </is>
      </c>
      <c r="H5" t="inlineStr">
        <is>
          <t>e.g. H0430 (bare: all derivatives) or G3563G</t>
        </is>
      </c>
      <c r="I5" t="inlineStr">
        <is>
          <t>e.g. Psa 10:2; Luk 14:12-14; Rom 8</t>
        </is>
      </c>
      <c r="J5" t="inlineStr">
        <is>
          <t>a narrative chapter, e.g. 10.1</t>
        </is>
      </c>
      <c r="K5" t="inlineStr">
        <is>
          <t>with -Chapter: a block heading</t>
        </is>
      </c>
      <c r="L5" t="inlineStr">
        <is>
          <t>e.g. C-330</t>
        </is>
      </c>
      <c r="M5" t="inlineStr">
        <is>
          <t>an ib_observation id</t>
        </is>
      </c>
      <c r="N5" t="inlineStr">
        <is>
          <t>a thread item, e.g. OT-108.3</t>
        </is>
      </c>
      <c r="O5" t="inlineStr">
        <is>
          <t>a thread, e.g. OT-108</t>
        </is>
      </c>
      <c r="P5" t="inlineStr">
        <is>
          <t>a request JSON file (a batch or kept group)</t>
        </is>
      </c>
      <c r="Q5" t="inlineStr">
        <is>
          <t>filter: keep verses holding one of these codes</t>
        </is>
      </c>
      <c r="R5" t="inlineStr">
        <is>
          <t>over 2500 verses: the researcher's review, given after it</t>
        </is>
      </c>
      <c r="S5" t="inlineStr">
        <is>
          <t>switch (x to set)</t>
        </is>
      </c>
    </row>
    <row r="6">
      <c r="A6" t="inlineStr">
        <is>
          <t>iba\app\ps\Verse-Scope.ps1</t>
        </is>
      </c>
      <c r="B6">
        <f>A6&amp;" "&amp;IF(C6="","",$C$4&amp;" '"&amp;C6&amp;"' ")&amp;IF(D6="","",$D$4&amp;" '"&amp;D6&amp;"' ")&amp;IF(E6="","",$E$4&amp;" '"&amp;E6&amp;"' ")&amp;IF(F6="","",$F$4&amp;" '"&amp;F6&amp;"' ")&amp;IF(G6="","",$G$4&amp;" '"&amp;G6&amp;"' ")&amp;IF(H6="","",$H$4&amp;" '"&amp;H6&amp;"' ")&amp;IF(I6="","",$I$4&amp;" '"&amp;I6&amp;"' ")&amp;IF(J6="","",$J$4&amp;" '"&amp;J6&amp;"' ")&amp;IF(K6="","",$K$4&amp;" '"&amp;K6&amp;"' ")&amp;IF(L6="","",$L$4&amp;" '"&amp;L6&amp;"' ")&amp;IF(M6="","",$M$4&amp;" '"&amp;M6&amp;"' ")&amp;IF(N6="","",$N$4&amp;" '"&amp;N6&amp;"' ")&amp;IF(O6="","",$O$4&amp;" '"&amp;O6&amp;"' ")&amp;IF(P6="","",$P$4&amp;" '"&amp;P6&amp;"' ")&amp;IF(Q6="","",$Q$4&amp;" '"&amp;Q6&amp;"' ")&amp;IF(R6="","",$R$4&amp;" '"&amp;R6&amp;"' ")&amp;IF(S6&lt;&gt;"",$S$4&amp;" ","")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Reading-Index.ps1</t>
        </is>
      </c>
    </row>
    <row r="2">
      <c r="A2" t="inlineStr">
        <is>
          <t>The cluster reading index (escalation #2228): Build reads the study files under reading_index.roots (only _analytics/Clusters) and records every verse reference with its file, section and line (reading_file, reading_section, reading_ref), incremental and time-guarded; Report writes the coverage report. Dispatches through run.py, work package reading-index.</t>
        </is>
      </c>
    </row>
    <row r="4">
      <c r="A4" t="inlineStr">
        <is>
          <t>script</t>
        </is>
      </c>
      <c r="B4" t="inlineStr">
        <is>
          <t>compiled command (copy/paste)</t>
        </is>
      </c>
      <c r="C4" t="inlineStr">
        <is>
          <t>-Step</t>
        </is>
      </c>
      <c r="D4" t="inlineStr">
        <is>
          <t>-Trace</t>
        </is>
      </c>
    </row>
    <row r="5">
      <c r="C5" t="inlineStr">
        <is>
          <t>Build|Report</t>
        </is>
      </c>
      <c r="D5" t="inlineStr">
        <is>
          <t>switch (x to set)</t>
        </is>
      </c>
    </row>
    <row r="6">
      <c r="A6" t="inlineStr">
        <is>
          <t>iba\app\ps\Reading-Index.ps1</t>
        </is>
      </c>
      <c r="B6">
        <f>A6&amp;" "&amp;IF(C6="","",$C$4&amp;" "&amp;C6&amp;" ")&amp;IF(D6&lt;&gt;"",$D$4&amp;" ","")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Verse-Collate.ps1</t>
        </is>
      </c>
    </row>
    <row r="2">
      <c r="A2" t="inlineStr">
        <is>
          <t>What is known and what is missing for a scope (escalation #2228): the scope resolved as Verse-Scope.ps1 does (same selectors, same guard), then per verse the observations, strand hits, claims, narrative blocks, open items and cluster-file lines, the lexicon per strong, and the gaps; -&gt; verse_collate.output_dir &lt;label&gt;.json and .md. Reads only; dispatches through run.py, work package verse-collate.</t>
        </is>
      </c>
    </row>
    <row r="4">
      <c r="A4" t="inlineStr">
        <is>
          <t>script</t>
        </is>
      </c>
      <c r="B4" t="inlineStr">
        <is>
          <t>compiled command (copy/paste)</t>
        </is>
      </c>
      <c r="C4" t="inlineStr">
        <is>
          <t>-Label</t>
        </is>
      </c>
      <c r="D4" t="inlineStr">
        <is>
          <t>-Cluster</t>
        </is>
      </c>
      <c r="E4" t="inlineStr">
        <is>
          <t>-Subgroup</t>
        </is>
      </c>
      <c r="F4" t="inlineStr">
        <is>
          <t>-Strand</t>
        </is>
      </c>
      <c r="G4" t="inlineStr">
        <is>
          <t>-Word</t>
        </is>
      </c>
      <c r="H4" t="inlineStr">
        <is>
          <t>-Strong</t>
        </is>
      </c>
      <c r="I4" t="inlineStr">
        <is>
          <t>-Verse</t>
        </is>
      </c>
      <c r="J4" t="inlineStr">
        <is>
          <t>-Chapter</t>
        </is>
      </c>
      <c r="K4" t="inlineStr">
        <is>
          <t>-Section</t>
        </is>
      </c>
      <c r="L4" t="inlineStr">
        <is>
          <t>-Claim</t>
        </is>
      </c>
      <c r="M4" t="inlineStr">
        <is>
          <t>-Observation</t>
        </is>
      </c>
      <c r="N4" t="inlineStr">
        <is>
          <t>-Item</t>
        </is>
      </c>
      <c r="O4" t="inlineStr">
        <is>
          <t>-Thread</t>
        </is>
      </c>
      <c r="P4" t="inlineStr">
        <is>
          <t>-File</t>
        </is>
      </c>
      <c r="Q4" t="inlineStr">
        <is>
          <t>-OnlyStrong</t>
        </is>
      </c>
      <c r="R4" t="inlineStr">
        <is>
          <t>-Reviewed</t>
        </is>
      </c>
      <c r="S4" t="inlineStr">
        <is>
          <t>-Trace</t>
        </is>
      </c>
    </row>
    <row r="5">
      <c r="C5" t="inlineStr">
        <is>
          <t>names the output file(s), e.g. anger-bosom</t>
        </is>
      </c>
      <c r="D5" t="inlineStr">
        <is>
          <t>e.g. M02 or M02,M01</t>
        </is>
      </c>
      <c r="E5" t="inlineStr">
        <is>
          <t>a cluster subgroup code</t>
        </is>
      </c>
      <c r="F5" t="inlineStr">
        <is>
          <t>a strand code, e.g. anger</t>
        </is>
      </c>
      <c r="G5" t="inlineStr">
        <is>
          <t>a word_registry word</t>
        </is>
      </c>
      <c r="H5" t="inlineStr">
        <is>
          <t>e.g. H0430 (bare: all derivatives) or G3563G</t>
        </is>
      </c>
      <c r="I5" t="inlineStr">
        <is>
          <t>e.g. Psa 10:2; Luk 14:12-14; Rom 8</t>
        </is>
      </c>
      <c r="J5" t="inlineStr">
        <is>
          <t>a narrative chapter, e.g. 10.1</t>
        </is>
      </c>
      <c r="K5" t="inlineStr">
        <is>
          <t>with -Chapter: a block heading</t>
        </is>
      </c>
      <c r="L5" t="inlineStr">
        <is>
          <t>e.g. C-330</t>
        </is>
      </c>
      <c r="M5" t="inlineStr">
        <is>
          <t>an ib_observation id</t>
        </is>
      </c>
      <c r="N5" t="inlineStr">
        <is>
          <t>a thread item, e.g. OT-108.3</t>
        </is>
      </c>
      <c r="O5" t="inlineStr">
        <is>
          <t>a thread, e.g. OT-108</t>
        </is>
      </c>
      <c r="P5" t="inlineStr">
        <is>
          <t>a request JSON file (a batch or kept group)</t>
        </is>
      </c>
      <c r="Q5" t="inlineStr">
        <is>
          <t>filter: keep verses holding one of these codes</t>
        </is>
      </c>
      <c r="R5" t="inlineStr">
        <is>
          <t>over 2500 verses: the researcher's review, given after it</t>
        </is>
      </c>
      <c r="S5" t="inlineStr">
        <is>
          <t>switch (x to set)</t>
        </is>
      </c>
    </row>
    <row r="6">
      <c r="A6" t="inlineStr">
        <is>
          <t>iba\app\ps\Verse-Collate.ps1</t>
        </is>
      </c>
      <c r="B6">
        <f>A6&amp;" "&amp;IF(C6="","",$C$4&amp;" '"&amp;C6&amp;"' ")&amp;IF(D6="","",$D$4&amp;" '"&amp;D6&amp;"' ")&amp;IF(E6="","",$E$4&amp;" '"&amp;E6&amp;"' ")&amp;IF(F6="","",$F$4&amp;" '"&amp;F6&amp;"' ")&amp;IF(G6="","",$G$4&amp;" '"&amp;G6&amp;"' ")&amp;IF(H6="","",$H$4&amp;" '"&amp;H6&amp;"' ")&amp;IF(I6="","",$I$4&amp;" '"&amp;I6&amp;"' ")&amp;IF(J6="","",$J$4&amp;" '"&amp;J6&amp;"' ")&amp;IF(K6="","",$K$4&amp;" '"&amp;K6&amp;"' ")&amp;IF(L6="","",$L$4&amp;" '"&amp;L6&amp;"' ")&amp;IF(M6="","",$M$4&amp;" '"&amp;M6&amp;"' ")&amp;IF(N6="","",$N$4&amp;" '"&amp;N6&amp;"' ")&amp;IF(O6="","",$O$4&amp;" '"&amp;O6&amp;"' ")&amp;IF(P6="","",$P$4&amp;" '"&amp;P6&amp;"' ")&amp;IF(Q6="","",$Q$4&amp;" '"&amp;Q6&amp;"' ")&amp;IF(R6="","",$R$4&amp;" '"&amp;R6&amp;"' ")&amp;IF(S6&lt;&gt;"",$S$4&amp;" ","")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Open-Item.ps1</t>
        </is>
      </c>
    </row>
    <row r="2">
      <c r="A2" t="inlineStr">
        <is>
          <t>Register open items to a clear purpose (escalation #2236): Add, Reword, Split (a target scoped to verses, at most open_item.max_verses; what to read for, why it is open, when it comes back), Due (items that come back when a cluster is worked), Review (stragglers). Dispatches through run.py, work package open-item.</t>
        </is>
      </c>
    </row>
    <row r="4">
      <c r="A4" t="inlineStr">
        <is>
          <t>script</t>
        </is>
      </c>
      <c r="B4" t="inlineStr">
        <is>
          <t>compiled command (copy/paste)</t>
        </is>
      </c>
      <c r="C4" t="inlineStr">
        <is>
          <t>-Action</t>
        </is>
      </c>
      <c r="D4" t="inlineStr">
        <is>
          <t>-Thread</t>
        </is>
      </c>
      <c r="E4" t="inlineStr">
        <is>
          <t>-Item</t>
        </is>
      </c>
      <c r="F4" t="inlineStr">
        <is>
          <t>-Origin</t>
        </is>
      </c>
      <c r="G4" t="inlineStr">
        <is>
          <t>-Anchor</t>
        </is>
      </c>
      <c r="H4" t="inlineStr">
        <is>
          <t>-Source</t>
        </is>
      </c>
      <c r="I4" t="inlineStr">
        <is>
          <t>-TargetCluster</t>
        </is>
      </c>
      <c r="J4" t="inlineStr">
        <is>
          <t>-TargetTerms</t>
        </is>
      </c>
      <c r="K4" t="inlineStr">
        <is>
          <t>-Verse</t>
        </is>
      </c>
      <c r="L4" t="inlineStr">
        <is>
          <t>-ReadFor</t>
        </is>
      </c>
      <c r="M4" t="inlineStr">
        <is>
          <t>-Why</t>
        </is>
      </c>
      <c r="N4" t="inlineStr">
        <is>
          <t>-ComesBackWhen</t>
        </is>
      </c>
      <c r="O4" t="inlineStr">
        <is>
          <t>-File</t>
        </is>
      </c>
      <c r="P4" t="inlineStr">
        <is>
          <t>-Cluster</t>
        </is>
      </c>
      <c r="Q4" t="inlineStr">
        <is>
          <t>-By</t>
        </is>
      </c>
      <c r="R4" t="inlineStr">
        <is>
          <t>-Trace</t>
        </is>
      </c>
    </row>
    <row r="5">
      <c r="C5" t="inlineStr">
        <is>
          <t>Add|Reword|Split|Due|Review</t>
        </is>
      </c>
      <c r="D5" t="inlineStr">
        <is>
          <t>Add: OT-nn</t>
        </is>
      </c>
      <c r="E5" t="inlineStr">
        <is>
          <t>Reword/Split: OT-nn.n</t>
        </is>
      </c>
      <c r="F5" t="inlineStr">
        <is>
          <t>the task/issue that raised it</t>
        </is>
      </c>
      <c r="G5" t="inlineStr">
        <is>
          <t>strong:|verse:|observation:|claim:|block:</t>
        </is>
      </c>
      <c r="H5" t="inlineStr">
        <is>
          <t>the source analysis's strong(s)</t>
        </is>
      </c>
      <c r="I5" t="inlineStr">
        <is>
          <t>e.g. M58</t>
        </is>
      </c>
      <c r="J5" t="inlineStr">
        <is>
          <t>the related term(s) in the target cluster</t>
        </is>
      </c>
      <c r="K5" t="inlineStr">
        <is>
          <t>or a verse target</t>
        </is>
      </c>
      <c r="L5" t="inlineStr">
        <is>
          <t>what to read for</t>
        </is>
      </c>
      <c r="M5" t="inlineStr">
        <is>
          <t>why it is open</t>
        </is>
      </c>
      <c r="N5" t="inlineStr">
        <is>
          <t>the trigger</t>
        </is>
      </c>
      <c r="O5" t="inlineStr">
        <is>
          <t>a JSON list of specs (Split: the parts)</t>
        </is>
      </c>
      <c r="P5" t="inlineStr">
        <is>
          <t>Due: the cluster being worked</t>
        </is>
      </c>
      <c r="Q5" t="inlineStr">
        <is>
          <t>Claude|Researcher</t>
        </is>
      </c>
      <c r="R5" t="inlineStr">
        <is>
          <t>switch (x to set)</t>
        </is>
      </c>
    </row>
    <row r="6">
      <c r="A6" t="inlineStr">
        <is>
          <t>iba\app\ps\Open-Item.ps1</t>
        </is>
      </c>
      <c r="B6">
        <f>A6&amp;" "&amp;IF(C6="","",$C$4&amp;" "&amp;C6&amp;" ")&amp;IF(D6="","",$D$4&amp;" '"&amp;D6&amp;"' ")&amp;IF(E6="","",$E$4&amp;" '"&amp;E6&amp;"' ")&amp;IF(F6="","",$F$4&amp;" '"&amp;F6&amp;"' ")&amp;IF(G6="","",$G$4&amp;" '"&amp;G6&amp;"' ")&amp;IF(H6="","",$H$4&amp;" '"&amp;H6&amp;"' ")&amp;IF(I6="","",$I$4&amp;" '"&amp;I6&amp;"' ")&amp;IF(J6="","",$J$4&amp;" '"&amp;J6&amp;"' ")&amp;IF(K6="","",$K$4&amp;" '"&amp;K6&amp;"' ")&amp;IF(L6="","",$L$4&amp;" '"&amp;L6&amp;"' ")&amp;IF(M6="","",$M$4&amp;" '"&amp;M6&amp;"' ")&amp;IF(N6="","",$N$4&amp;" '"&amp;N6&amp;"' ")&amp;IF(O6="","",$O$4&amp;" '"&amp;O6&amp;"' ")&amp;IF(P6="","",$P$4&amp;" '"&amp;P6&amp;"' ")&amp;IF(Q6="","",$Q$4&amp;" "&amp;Q6&amp;" ")&amp;IF(R6&lt;&gt;"",$R$4&amp;" ","")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Reading.ps1</t>
        </is>
      </c>
    </row>
    <row r="2">
      <c r="A2" t="inlineStr">
        <is>
          <t>The reading process (escalation #2228): a reading of one scope through three gates. Open (scope, collation, gap JSON), Record and Check (gate 1: every gap recorded or a reason; verses marked analysed), Synergy, Apply and Check (gate 2: from the tables -- claims, dispositions, tellings, blocks, open items settled), Publish (gate 3: chapters published and copied to learning4comfort), Account. Dispatches through run.py, work package reading.</t>
        </is>
      </c>
    </row>
    <row r="4">
      <c r="A4" t="inlineStr">
        <is>
          <t>script</t>
        </is>
      </c>
      <c r="B4" t="inlineStr">
        <is>
          <t>compiled command (copy/paste)</t>
        </is>
      </c>
      <c r="C4" t="inlineStr">
        <is>
          <t>-Step</t>
        </is>
      </c>
      <c r="D4" t="inlineStr">
        <is>
          <t>-Label</t>
        </is>
      </c>
      <c r="E4" t="inlineStr">
        <is>
          <t>-By</t>
        </is>
      </c>
      <c r="F4" t="inlineStr">
        <is>
          <t>-Escalation</t>
        </is>
      </c>
      <c r="G4" t="inlineStr">
        <is>
          <t>-HomeCluster</t>
        </is>
      </c>
      <c r="H4" t="inlineStr">
        <is>
          <t>-Note</t>
        </is>
      </c>
      <c r="I4" t="inlineStr">
        <is>
          <t>-File</t>
        </is>
      </c>
      <c r="J4" t="inlineStr">
        <is>
          <t>-Cluster</t>
        </is>
      </c>
      <c r="K4" t="inlineStr">
        <is>
          <t>-Subgroup</t>
        </is>
      </c>
      <c r="L4" t="inlineStr">
        <is>
          <t>-Strand</t>
        </is>
      </c>
      <c r="M4" t="inlineStr">
        <is>
          <t>-Word</t>
        </is>
      </c>
      <c r="N4" t="inlineStr">
        <is>
          <t>-Strong</t>
        </is>
      </c>
      <c r="O4" t="inlineStr">
        <is>
          <t>-Verse</t>
        </is>
      </c>
      <c r="P4" t="inlineStr">
        <is>
          <t>-Chapter</t>
        </is>
      </c>
      <c r="Q4" t="inlineStr">
        <is>
          <t>-Section</t>
        </is>
      </c>
      <c r="R4" t="inlineStr">
        <is>
          <t>-Claim</t>
        </is>
      </c>
      <c r="S4" t="inlineStr">
        <is>
          <t>-Observation</t>
        </is>
      </c>
      <c r="T4" t="inlineStr">
        <is>
          <t>-Item</t>
        </is>
      </c>
      <c r="U4" t="inlineStr">
        <is>
          <t>-Thread</t>
        </is>
      </c>
      <c r="V4" t="inlineStr">
        <is>
          <t>-OnlyStrong</t>
        </is>
      </c>
      <c r="W4" t="inlineStr">
        <is>
          <t>-Reviewed</t>
        </is>
      </c>
      <c r="X4" t="inlineStr">
        <is>
          <t>-Trace</t>
        </is>
      </c>
    </row>
    <row r="5">
      <c r="C5" t="inlineStr">
        <is>
          <t>Open|Record|Check|Synergy|Apply|Publish|Account</t>
        </is>
      </c>
      <c r="D5" t="inlineStr">
        <is>
          <t>the reading's name</t>
        </is>
      </c>
      <c r="E5" t="inlineStr">
        <is>
          <t>Claude|Researcher (write steps)</t>
        </is>
      </c>
      <c r="F5" t="inlineStr">
        <is>
          <t>Open: the anchoring task/issue</t>
        </is>
      </c>
      <c r="G5" t="inlineStr">
        <is>
          <t>Open: the cluster new observations go under</t>
        </is>
      </c>
      <c r="H5" t="inlineStr">
        <is>
          <t>Open: a note</t>
        </is>
      </c>
      <c r="I5" t="inlineStr">
        <is>
          <t>Open: a scope request; Record: gap JSON; Apply: synergy JSON</t>
        </is>
      </c>
      <c r="J5" t="inlineStr">
        <is>
          <t>scope</t>
        </is>
      </c>
      <c r="K5" t="inlineStr">
        <is>
          <t>scope</t>
        </is>
      </c>
      <c r="L5" t="inlineStr">
        <is>
          <t>scope</t>
        </is>
      </c>
      <c r="M5" t="inlineStr">
        <is>
          <t>scope</t>
        </is>
      </c>
      <c r="N5" t="inlineStr">
        <is>
          <t>scope</t>
        </is>
      </c>
      <c r="O5" t="inlineStr">
        <is>
          <t>scope</t>
        </is>
      </c>
      <c r="P5" t="inlineStr">
        <is>
          <t>scope</t>
        </is>
      </c>
      <c r="Q5" t="inlineStr">
        <is>
          <t>scope</t>
        </is>
      </c>
      <c r="R5" t="inlineStr">
        <is>
          <t>scope</t>
        </is>
      </c>
      <c r="S5" t="inlineStr">
        <is>
          <t>scope</t>
        </is>
      </c>
      <c r="T5" t="inlineStr">
        <is>
          <t>scope</t>
        </is>
      </c>
      <c r="U5" t="inlineStr">
        <is>
          <t>scope</t>
        </is>
      </c>
      <c r="V5" t="inlineStr">
        <is>
          <t>scope filter</t>
        </is>
      </c>
      <c r="W5" t="inlineStr">
        <is>
          <t>only after the researcher's review (&gt; 2,500 verses)</t>
        </is>
      </c>
      <c r="X5" t="inlineStr">
        <is>
          <t>switch (x to set)</t>
        </is>
      </c>
    </row>
    <row r="6">
      <c r="A6" t="inlineStr">
        <is>
          <t>iba\app\ps\Reading.ps1</t>
        </is>
      </c>
      <c r="B6">
        <f>A6&amp;" "&amp;IF(C6="","",$C$4&amp;" "&amp;C6&amp;" ")&amp;IF(D6="","",$D$4&amp;" '"&amp;D6&amp;"' ")&amp;IF(E6="","",$E$4&amp;" "&amp;E6&amp;" ")&amp;IF(F6="","",$F$4&amp;" '"&amp;F6&amp;"' ")&amp;IF(G6="","",$G$4&amp;" '"&amp;G6&amp;"' ")&amp;IF(H6="","",$H$4&amp;" '"&amp;H6&amp;"' ")&amp;IF(I6="","",$I$4&amp;" '"&amp;I6&amp;"' ")&amp;IF(J6="","",$J$4&amp;" '"&amp;J6&amp;"' ")&amp;IF(K6="","",$K$4&amp;" '"&amp;K6&amp;"' ")&amp;IF(L6="","",$L$4&amp;" '"&amp;L6&amp;"' ")&amp;IF(M6="","",$M$4&amp;" '"&amp;M6&amp;"' ")&amp;IF(N6="","",$N$4&amp;" '"&amp;N6&amp;"' ")&amp;IF(O6="","",$O$4&amp;" '"&amp;O6&amp;"' ")&amp;IF(P6="","",$P$4&amp;" '"&amp;P6&amp;"' ")&amp;IF(Q6="","",$Q$4&amp;" '"&amp;Q6&amp;"' ")&amp;IF(R6="","",$R$4&amp;" '"&amp;R6&amp;"' ")&amp;IF(S6="","",$S$4&amp;" '"&amp;S6&amp;"' ")&amp;IF(T6="","",$T$4&amp;" '"&amp;T6&amp;"' ")&amp;IF(U6="","",$U$4&amp;" '"&amp;U6&amp;"' ")&amp;IF(V6="","",$V$4&amp;" '"&amp;V6&amp;"' ")&amp;IF(W6="","",$W$4&amp;" '"&amp;W6&amp;"' ")&amp;IF(X6&lt;&gt;"",$X$4&amp;" ","")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24" t="inlineStr">
        <is>
          <t>Compliance.ps1</t>
        </is>
      </c>
    </row>
    <row r="2">
      <c r="A2" t="inlineStr">
        <is>
          <t>The session compliance file (escalation #2173 P2): the governance settings, behaviour rules and escalation rules, restated at start and proved at close.</t>
        </is>
      </c>
    </row>
    <row r="4">
      <c r="A4" s="25" t="inlineStr">
        <is>
          <t>script</t>
        </is>
      </c>
      <c r="B4" s="25" t="inlineStr">
        <is>
          <t>compiled command (copy/paste)</t>
        </is>
      </c>
      <c r="C4" s="25" t="inlineStr">
        <is>
          <t>-Action</t>
        </is>
      </c>
      <c r="D4" s="25" t="inlineStr">
        <is>
          <t>-Phase</t>
        </is>
      </c>
      <c r="E4" s="25" t="inlineStr">
        <is>
          <t>-Mode</t>
        </is>
      </c>
      <c r="F4" s="25" t="inlineStr">
        <is>
          <t>-Trace</t>
        </is>
      </c>
    </row>
    <row r="5">
      <c r="F5" t="inlineStr">
        <is>
          <t>switch (x to set)</t>
        </is>
      </c>
    </row>
    <row r="6">
      <c r="A6" t="inlineStr">
        <is>
          <t>iba\app\ps\Compliance.ps1</t>
        </is>
      </c>
      <c r="B6">
        <f>A6&amp;" "&amp;IF(C6="","",$C$4&amp;" "&amp;C6&amp;" ")&amp;IF(D6="","",$D$4&amp;" "&amp;D6&amp;" ")&amp;IF(E6="","",$E$4&amp;" "&amp;E6&amp;" ")&amp;IF(F6&lt;&gt;"",$F$4&amp;" ","")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24" t="inlineStr">
        <is>
          <t>Copy-NarrativeToLearning4Comfort.ps1</t>
        </is>
      </c>
    </row>
    <row r="2">
      <c r="A2" t="inlineStr">
        <is>
          <t>Copy the current inner-being narrative files to the learning4comfort publication inbox (escalation #1941). This project never publishes to GitHub itself; the learning4comfort repo prepares, reviews and publishes from its inbox.</t>
        </is>
      </c>
    </row>
    <row r="4">
      <c r="A4" s="25" t="inlineStr">
        <is>
          <t>script</t>
        </is>
      </c>
      <c r="B4" s="25" t="inlineStr">
        <is>
          <t>compiled command (copy/paste)</t>
        </is>
      </c>
      <c r="C4" s="25" t="inlineStr">
        <is>
          <t>-DryRun</t>
        </is>
      </c>
    </row>
    <row r="5">
      <c r="C5" t="inlineStr">
        <is>
          <t>switch (x to set)</t>
        </is>
      </c>
    </row>
    <row r="6">
      <c r="A6" t="inlineStr">
        <is>
          <t>iba\app\ps\Copy-NarrativeToLearning4Comfort.ps1</t>
        </is>
      </c>
      <c r="B6">
        <f>A6&amp;" "&amp;IF(C6&lt;&gt;"",$C$4&amp;" ","")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24" t="inlineStr">
        <is>
          <t>RelationalReading.ps1</t>
        </is>
      </c>
    </row>
    <row r="2">
      <c r="A2" t="inlineStr">
        <is>
          <t>The `verse-reading` stage's RELATIONAL half (`lexical.relational`, escalation #1860 word-level/ relational split, 2026-09-23) -- per-cluster, pre-subgroup Layer 2 pass answering M0.6.5/M0.6.6/ D7.7.1/M0.7.1-16/M0.8.1. Standalone single-step entry point onto the `verse-lexical` work package's `lexical.relational` step (ordinal 7), mirroring `VerseReading.ps1` (`lexical.meaning`, the word-level half) exactly.</t>
        </is>
      </c>
    </row>
    <row r="4">
      <c r="A4" s="25" t="inlineStr">
        <is>
          <t>script</t>
        </is>
      </c>
      <c r="B4" s="25" t="inlineStr">
        <is>
          <t>compiled command (copy/paste)</t>
        </is>
      </c>
      <c r="C4" s="25" t="inlineStr">
        <is>
          <t>-ClusterCode</t>
        </is>
      </c>
      <c r="D4" s="25" t="inlineStr">
        <is>
          <t>-VerseList</t>
        </is>
      </c>
      <c r="E4" s="25" t="inlineStr">
        <is>
          <t>-Live</t>
        </is>
      </c>
      <c r="F4" s="25" t="inlineStr">
        <is>
          <t>-Force</t>
        </is>
      </c>
      <c r="G4" s="25" t="inlineStr">
        <is>
          <t>-RunId</t>
        </is>
      </c>
      <c r="H4" s="25" t="inlineStr">
        <is>
          <t>-Trace</t>
        </is>
      </c>
    </row>
    <row r="5">
      <c r="E5" t="inlineStr">
        <is>
          <t>switch (x to set)</t>
        </is>
      </c>
      <c r="F5" t="inlineStr">
        <is>
          <t>switch (x to set)</t>
        </is>
      </c>
      <c r="H5" t="inlineStr">
        <is>
          <t>switch (x to set)</t>
        </is>
      </c>
    </row>
    <row r="6">
      <c r="A6" t="inlineStr">
        <is>
          <t>iba\app\ps\RelationalReading.ps1</t>
        </is>
      </c>
      <c r="B6">
        <f>A6&amp;" "&amp;IF(C6="","",$C$4&amp;" '"&amp;C6&amp;"' ")&amp;IF(D6="","",$D$4&amp;" '"&amp;D6&amp;"' ")&amp;IF(E6&lt;&gt;"",$E$4&amp;" ","")&amp;IF(F6&lt;&gt;"",$F$4&amp;" ","")&amp;IF(G6="","",$G$4&amp;" '"&amp;G6&amp;"' ")&amp;IF(H6&lt;&gt;"",$H$4&amp;" ","")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24" t="inlineStr">
        <is>
          <t>Run-Stage1Batch.ps1</t>
        </is>
      </c>
    </row>
    <row r="2">
      <c r="A2" t="inlineStr">
        <is>
          <t>Batch controller for `lexical.meaning` (Stage 1 verse-reading) -- runs an explicit list of clusters sequentially, unattended, so a multi-cluster pass can run in the background while progress is watched separately with `BatchProgress.ps1` (escalation #1756's own monitor, read- only over `run_batch` -- `lexical.meaning` already writes there via `batchcontrol.py`, so no new monitoring mechanism was needed, only this orchestration layer).</t>
        </is>
      </c>
    </row>
    <row r="4">
      <c r="A4" s="25" t="inlineStr">
        <is>
          <t>script</t>
        </is>
      </c>
      <c r="B4" s="25" t="inlineStr">
        <is>
          <t>compiled command (copy/paste)</t>
        </is>
      </c>
      <c r="C4" s="25" t="inlineStr">
        <is>
          <t>-ClusterCodes</t>
        </is>
      </c>
      <c r="D4" s="25" t="inlineStr">
        <is>
          <t>-Live</t>
        </is>
      </c>
      <c r="E4" s="25" t="inlineStr">
        <is>
          <t>-MaxTotalCostUsd</t>
        </is>
      </c>
      <c r="F4" s="25" t="inlineStr">
        <is>
          <t>-RunId</t>
        </is>
      </c>
      <c r="G4" s="25" t="inlineStr">
        <is>
          <t>-Trace</t>
        </is>
      </c>
    </row>
    <row r="5">
      <c r="D5" t="inlineStr">
        <is>
          <t>switch (x to set)</t>
        </is>
      </c>
      <c r="G5" t="inlineStr">
        <is>
          <t>switch (x to set)</t>
        </is>
      </c>
    </row>
    <row r="6">
      <c r="A6" t="inlineStr">
        <is>
          <t>iba\app\ps\Run-Stage1Batch.ps1</t>
        </is>
      </c>
      <c r="B6">
        <f>A6&amp;" "&amp;IF(C6="","",$C$4&amp;" '"&amp;C6&amp;"' ")&amp;IF(D6&lt;&gt;"",$D$4&amp;" ","")&amp;IF(E6="","",$E$4&amp;" '"&amp;E6&amp;"' ")&amp;IF(F6="","",$F$4&amp;" '"&amp;F6&amp;"' ")&amp;IF(G6&lt;&gt;"",$G$4&amp;" ","")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2026-08-29T09:24:50Z</dcterms:created>
  <dcterms:modified xmlns:dcterms="http://purl.org/dc/terms/" xmlns:xsi="http://www.w3.org/2001/XMLSchema-instance" xsi:type="dcterms:W3CDTF">2026-10-23T17:07:21Z</dcterms:modified>
  <cp:lastModifiedBy>LeRoux Cilliers</cp:lastModifiedBy>
</cp:coreProperties>
</file>