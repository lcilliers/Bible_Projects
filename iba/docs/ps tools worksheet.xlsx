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ible_study_projects\iba\docs\"/>
    </mc:Choice>
  </mc:AlternateContent>
  <xr:revisionPtr revIDLastSave="0" documentId="13_ncr:1_{D2932604-E971-448E-B201-66C7977E355A}" xr6:coauthVersionLast="47" xr6:coauthVersionMax="47" xr10:uidLastSave="{00000000-0000-0000-0000-000000000000}"/>
  <bookViews>
    <workbookView xWindow="22932" yWindow="-108" windowWidth="23256" windowHeight="12456" firstSheet="33" activeTab="38" xr2:uid="{00000000-000D-0000-FFFF-FFFF00000000}"/>
  </bookViews>
  <sheets>
    <sheet name="Index" sheetId="1" r:id="rId1"/>
    <sheet name="Behaviour" sheetId="2" r:id="rId2"/>
    <sheet name="Book-Narrative" sheetId="3" r:id="rId3"/>
    <sheet name="BookNarrative-Generate" sheetId="4" r:id="rId4"/>
    <sheet name="BookNarrative-Validate" sheetId="5" r:id="rId5"/>
    <sheet name="Build-Passages" sheetId="6" r:id="rId6"/>
    <sheet name="Candidate-Curate" sheetId="7" r:id="rId7"/>
    <sheet name="Candidate-Quality" sheetId="8" r:id="rId8"/>
    <sheet name="Chapter-Generate" sheetId="9" r:id="rId9"/>
    <sheet name="Cluster-Assign" sheetId="10" r:id="rId10"/>
    <sheet name="Cluster-Report" sheetId="11" r:id="rId11"/>
    <sheet name="Config-Maintenance" sheetId="12" r:id="rId12"/>
    <sheet name="ContentIndex-Rebuild" sheetId="13" r:id="rId13"/>
    <sheet name="ContentIndex-Search" sheetId="14" r:id="rId14"/>
    <sheet name="ContentIndex-SizeProfile" sheetId="15" r:id="rId15"/>
    <sheet name="create-iba-view-template" sheetId="16" r:id="rId16"/>
    <sheet name="create-passage-view-and-export" sheetId="17" r:id="rId17"/>
    <sheet name="passages-by-book-view-export" sheetId="18" r:id="rId18"/>
    <sheet name="Debate-Run" sheetId="19" r:id="rId19"/>
    <sheet name="Escalation" sheetId="20" r:id="rId20"/>
    <sheet name="export-iba-config-tables" sheetId="21" r:id="rId21"/>
    <sheet name="Export-Tables" sheetId="22" r:id="rId22"/>
    <sheet name="FolderPurpose" sheetId="23" r:id="rId23"/>
    <sheet name="generate-iba-db-schema-report" sheetId="24" r:id="rId24"/>
    <sheet name="Lexicon-Parse" sheetId="25" r:id="rId25"/>
    <sheet name="Log-Retention" sheetId="26" r:id="rId26"/>
    <sheet name="Manifest-Rebuild" sheetId="27" r:id="rId27"/>
    <sheet name="Manifest-Search" sheetId="28" r:id="rId28"/>
    <sheet name="New-Word" sheetId="29" r:id="rId29"/>
    <sheet name="Operations-Ingest" sheetId="30" r:id="rId30"/>
    <sheet name="Passage-Quality" sheetId="31" r:id="rId31"/>
    <sheet name="PassageDebate-Report" sheetId="32" r:id="rId32"/>
    <sheet name="PassageDebate-Sync" sheetId="33" r:id="rId33"/>
    <sheet name="PathAudit" sheetId="34" r:id="rId34"/>
    <sheet name="Prose" sheetId="35" r:id="rId35"/>
    <sheet name="Raw-Backfill" sheetId="36" r:id="rId36"/>
    <sheet name="Registry-Report" sheetId="37" r:id="rId37"/>
    <sheet name="Reports" sheetId="38" r:id="rId38"/>
    <sheet name="SchemaOverview-Report" sheetId="39" r:id="rId39"/>
    <sheet name="SeedCandidate-Report" sheetId="40" r:id="rId40"/>
    <sheet name="Set-Candidates" sheetId="41" r:id="rId41"/>
    <sheet name="SpanAnalysis-Report" sheetId="42" r:id="rId42"/>
    <sheet name="Start-Iba" sheetId="43" r:id="rId43"/>
    <sheet name="StrongMeaning-Report" sheetId="44" r:id="rId44"/>
    <sheet name="StrongVerse-Report" sheetId="45" r:id="rId45"/>
    <sheet name="VerseLexical" sheetId="46" r:id="rId46"/>
    <sheet name="VerseSpanMeaning-Report" sheetId="47" r:id="rId47"/>
    <sheet name="WholeBookRead-Report" sheetId="48" r:id="rId48"/>
    <sheet name="WordRegistrySpan-Report" sheetId="49" r:id="rId49"/>
    <sheet name="Catalogue-Report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0" l="1"/>
  <c r="B6" i="49"/>
  <c r="B6" i="48"/>
  <c r="B6" i="47"/>
  <c r="B6" i="45"/>
  <c r="B6" i="44"/>
  <c r="B6" i="43"/>
  <c r="B6" i="42"/>
  <c r="B6" i="41"/>
  <c r="B6" i="40"/>
  <c r="B6" i="39"/>
  <c r="B6" i="38"/>
  <c r="B6" i="37"/>
  <c r="B6" i="36"/>
  <c r="B6" i="35"/>
  <c r="B6" i="34"/>
  <c r="B6" i="33"/>
  <c r="B6" i="32"/>
  <c r="B6" i="31"/>
  <c r="B6" i="30"/>
  <c r="B6" i="29"/>
  <c r="B6" i="28"/>
  <c r="B6" i="27"/>
  <c r="B6" i="26"/>
  <c r="B6" i="25"/>
  <c r="B6" i="24"/>
  <c r="B6" i="23"/>
  <c r="B6" i="22"/>
  <c r="B6" i="21"/>
  <c r="B6" i="19"/>
  <c r="B6" i="18"/>
  <c r="B6" i="17"/>
  <c r="B6" i="16"/>
  <c r="B6" i="15"/>
  <c r="B6" i="14"/>
  <c r="B6" i="13"/>
  <c r="B6" i="12"/>
  <c r="B6" i="11"/>
  <c r="B6" i="10"/>
  <c r="B6" i="9"/>
  <c r="B6" i="8"/>
  <c r="B6" i="7"/>
  <c r="B6" i="6"/>
  <c r="B6" i="5"/>
  <c r="B6" i="4"/>
  <c r="B6" i="3"/>
  <c r="B6" i="2"/>
  <c r="B6" i="46"/>
</calcChain>
</file>

<file path=xl/sharedStrings.xml><?xml version="1.0" encoding="utf-8"?>
<sst xmlns="http://schemas.openxmlformats.org/spreadsheetml/2006/main" count="672" uniqueCount="287">
  <si>
    <t>VerseLexical.ps1</t>
  </si>
  <si>
    <t>Run verse_lexical (L4b) derivation for a book/chapter range -- covers both lexical.build and report.verse_lexical.</t>
  </si>
  <si>
    <t>script</t>
  </si>
  <si>
    <t>compiled command (copy/paste)</t>
  </si>
  <si>
    <t>-Book</t>
  </si>
  <si>
    <t>-Chapters</t>
  </si>
  <si>
    <t>-Range</t>
  </si>
  <si>
    <t>-BookLabel</t>
  </si>
  <si>
    <t>-RunId</t>
  </si>
  <si>
    <t>-Trace</t>
  </si>
  <si>
    <t>-Step</t>
  </si>
  <si>
    <t>whole chapter(s): a single chapter e.g. 1, or a contiguous range e.g. 1-9 -- NOT a comma-list</t>
  </si>
  <si>
    <t>chapter:verse[-verse] -- MUST include the colon, e.g. 8:2 (single verse) or 8:1-27 (span)</t>
  </si>
  <si>
    <t>lexical.build|report.verse_lexical -- omit to run both chained; report.verse_lexical alone VIEWS already-built results with no re-build</t>
  </si>
  <si>
    <t>iba\app\ps\VerseLexical.ps1</t>
  </si>
  <si>
    <t>Rom</t>
  </si>
  <si>
    <t>8:2</t>
  </si>
  <si>
    <t>PS Tool Workbook -- iba/app/ps scripts</t>
  </si>
  <si>
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</si>
  <si>
    <t>Script</t>
  </si>
  <si>
    <t>Purpose</t>
  </si>
  <si>
    <t>Status</t>
  </si>
  <si>
    <t>Behaviour.ps1</t>
  </si>
  <si>
    <t>List behaviour rules (cfg_behaviour_class/cfg_behaviour_rule).</t>
  </si>
  <si>
    <t>n/a (not dispatcher-gated)</t>
  </si>
  <si>
    <t>Book-Narrative.ps1</t>
  </si>
  <si>
    <t>Run the book-narrative step for a book.</t>
  </si>
  <si>
    <t>Active</t>
  </si>
  <si>
    <t>BookNarrative-Generate.ps1</t>
  </si>
  <si>
    <t>Generate the book-narrative draft.</t>
  </si>
  <si>
    <t>RETIRED</t>
  </si>
  <si>
    <t>BookNarrative-Validate.ps1</t>
  </si>
  <si>
    <t>Validate a book-narrative file.</t>
  </si>
  <si>
    <t>Build-Passages.ps1</t>
  </si>
  <si>
    <t>Build passage rows from a payload.</t>
  </si>
  <si>
    <t>Candidate-Curate.ps1</t>
  </si>
  <si>
    <t>Curate candidate_seed rows (tag/decide/split/delete).</t>
  </si>
  <si>
    <t>Candidate-Quality.ps1</t>
  </si>
  <si>
    <t>candidate_seed quality-check report.</t>
  </si>
  <si>
    <t>Chapter-Generate.ps1</t>
  </si>
  <si>
    <t>Generate a chapter-level output.</t>
  </si>
  <si>
    <t>Cluster-Assign.ps1</t>
  </si>
  <si>
    <t>Assign strongs to M-code clusters / validate assignment.</t>
  </si>
  <si>
    <t>Cluster-Report.ps1</t>
  </si>
  <si>
    <t>Cluster overview report.</t>
  </si>
  <si>
    <t>Config-Maintenance.ps1</t>
  </si>
  <si>
    <t>THE sanctioned path for changing a cfg_* row.</t>
  </si>
  <si>
    <t>ContentIndex-Rebuild.ps1</t>
  </si>
  <si>
    <t>Rebuild the content search index.</t>
  </si>
  <si>
    <t>ContentIndex-Search.ps1</t>
  </si>
  <si>
    <t>Query the content search index.</t>
  </si>
  <si>
    <t>ContentIndex-SizeProfile.ps1</t>
  </si>
  <si>
    <t>Size-profile the content index.</t>
  </si>
  <si>
    <t>create-iba-view-template.ps1</t>
  </si>
  <si>
    <t>Create/replace a named SQLite view in iba.db.</t>
  </si>
  <si>
    <t>create-passage-view-and-export.ps1</t>
  </si>
  <si>
    <t>Create vw_passage_verse_top10 and export it to CSV.</t>
  </si>
  <si>
    <t>create-passages-by-book-view-and-export.ps1</t>
  </si>
  <si>
    <t>Create vw_passages_by_book (scoped to one book) and export it.</t>
  </si>
  <si>
    <t>Debate-Run.ps1</t>
  </si>
  <si>
    <t>The debate pipeline (HIB/phenomenon/operation/closing) for a book.</t>
  </si>
  <si>
    <t>Escalation.ps1</t>
  </si>
  <si>
    <t>See the researcher's own model sheet, 'escalation actions worksheet.xlsx' -- not rebuilt here, this tab is a pointer only.</t>
  </si>
  <si>
    <t>export-iba-config-tables.ps1</t>
  </si>
  <si>
    <t>Export all cfg_* tables to CSV + an index report.</t>
  </si>
  <si>
    <t>Export-Tables.ps1</t>
  </si>
  <si>
    <t>Export one or more cfg_*/data tables to CSV.</t>
  </si>
  <si>
    <t>FolderPurpose.ps1</t>
  </si>
  <si>
    <t>The folder_purpose governance mechanism (Methods A-D).</t>
  </si>
  <si>
    <t>generate-iba-db-schema-report.ps1</t>
  </si>
  <si>
    <t>Generate the full iba.db schema overview doc.</t>
  </si>
  <si>
    <t>Lexicon-Parse.ps1</t>
  </si>
  <si>
    <t>Parse strong_lexicon / related-word data.</t>
  </si>
  <si>
    <t>Log-Retention.ps1</t>
  </si>
  <si>
    <t>Apply log-retention rules (prune old logs).</t>
  </si>
  <si>
    <t>Manifest-Rebuild.ps1</t>
  </si>
  <si>
    <t>Rebuild the file_manifest table.</t>
  </si>
  <si>
    <t>Manifest-Search.ps1</t>
  </si>
  <si>
    <t>Search the file_manifest table.</t>
  </si>
  <si>
    <t>New-Word.ps1</t>
  </si>
  <si>
    <t>Register a new word_registry entry and run its first-pass pipeline.</t>
  </si>
  <si>
    <t>Operations-Ingest.ps1</t>
  </si>
  <si>
    <t>Ingest a debate-step payload (hib/phenomenon/operation/closing).</t>
  </si>
  <si>
    <t>Passage-Quality.ps1</t>
  </si>
  <si>
    <t>Quality-check passages, optionally scoped to a book.</t>
  </si>
  <si>
    <t>PassageDebate-Report.ps1</t>
  </si>
  <si>
    <t>Report on passage/debate state for a book.</t>
  </si>
  <si>
    <t>PassageDebate-Sync.ps1</t>
  </si>
  <si>
    <t>Sync file-based debate output back into passage/phenomenon.</t>
  </si>
  <si>
    <t>PathAudit.ps1</t>
  </si>
  <si>
    <t>Scan for hardcoded paths that should be config-driven.</t>
  </si>
  <si>
    <t>Prose.ps1</t>
  </si>
  <si>
    <t>Prose store: extract/search/export/import/flag/status the programme prose.</t>
  </si>
  <si>
    <t>Raw-Backfill.ps1</t>
  </si>
  <si>
    <t>Backfill span/strong_verse from raw span data for a book.</t>
  </si>
  <si>
    <t>Registry-Report.ps1</t>
  </si>
  <si>
    <t>word_registry overview report.</t>
  </si>
  <si>
    <t>Reports.ps1</t>
  </si>
  <si>
    <t>Word/book validation and report bundle.</t>
  </si>
  <si>
    <t>SchemaOverview-Report.ps1</t>
  </si>
  <si>
    <t>Live iba.db schema overview report.</t>
  </si>
  <si>
    <t>SeedCandidate-Report.ps1</t>
  </si>
  <si>
    <t>candidate_seed coverage report.</t>
  </si>
  <si>
    <t>Set-Candidates.ps1</t>
  </si>
  <si>
    <t>Seed candidate_seed rows for a book.</t>
  </si>
  <si>
    <t>SpanAnalysis-Report.ps1</t>
  </si>
  <si>
    <t>span table analysis report.</t>
  </si>
  <si>
    <t>Start-Iba.ps1</t>
  </si>
  <si>
    <t>Session bootstrap -- run once per session before any IBA work.</t>
  </si>
  <si>
    <t>StrongMeaning-Report.ps1</t>
  </si>
  <si>
    <t>strong_meaning_parsed/strong_lexicon coverage report.</t>
  </si>
  <si>
    <t>StrongVerse-Report.ps1</t>
  </si>
  <si>
    <t>Report a word's strong&lt;-&gt;verse coverage.</t>
  </si>
  <si>
    <t>Run verse_lexical (L4b) derivation for a book/chapter range.</t>
  </si>
  <si>
    <t>VerseSpanMeaning-Report.ps1</t>
  </si>
  <si>
    <t>Report verse-span-meaning coverage for a book.</t>
  </si>
  <si>
    <t>WholeBookRead-Report.ps1</t>
  </si>
  <si>
    <t>Whole-book-read report for a book.</t>
  </si>
  <si>
    <t>WordRegistrySpan-Report.ps1</t>
  </si>
  <si>
    <t>Report a word's span coverage against its registry entry.</t>
  </si>
  <si>
    <t>-Action</t>
  </si>
  <si>
    <t>-Class</t>
  </si>
  <si>
    <t>List</t>
  </si>
  <si>
    <t>chat|terminal|sqlite|documentation|llm_output|development</t>
  </si>
  <si>
    <t>iba\app\ps\Behaviour.ps1</t>
  </si>
  <si>
    <t>iba\app\ps\Book-Narrative.ps1</t>
  </si>
  <si>
    <t>iba\app\ps\BookNarrative-Generate.ps1</t>
  </si>
  <si>
    <t>-Path</t>
  </si>
  <si>
    <t>path to the narrative file</t>
  </si>
  <si>
    <t>iba\app\ps\BookNarrative-Validate.ps1</t>
  </si>
  <si>
    <t>-PayloadPath</t>
  </si>
  <si>
    <t>path to the payload JSON</t>
  </si>
  <si>
    <t>iba\app\ps\Build-Passages.ps1</t>
  </si>
  <si>
    <t>-Mode</t>
  </si>
  <si>
    <t>-LemmaKey</t>
  </si>
  <si>
    <t>-Field</t>
  </si>
  <si>
    <t>-StrongVariant</t>
  </si>
  <si>
    <t>-Value</t>
  </si>
  <si>
    <t>-InputFile</t>
  </si>
  <si>
    <t>-Question</t>
  </si>
  <si>
    <t>Curate|Load</t>
  </si>
  <si>
    <t>tag|decision|split|delete</t>
  </si>
  <si>
    <t>Load</t>
  </si>
  <si>
    <t>iba\app\ps\Candidate-Curate.ps1</t>
  </si>
  <si>
    <t>iba\app\ps\Candidate-Quality.ps1</t>
  </si>
  <si>
    <t>iba\app\ps\Chapter-Generate.ps1</t>
  </si>
  <si>
    <t>Assign|Validate</t>
  </si>
  <si>
    <t>iba\app\ps\Cluster-Assign.ps1</t>
  </si>
  <si>
    <t>iba\app\ps\Cluster-Report.ps1</t>
  </si>
  <si>
    <t>-Table</t>
  </si>
  <si>
    <t>-Op</t>
  </si>
  <si>
    <t>-Where</t>
  </si>
  <si>
    <t>-Set</t>
  </si>
  <si>
    <t>Validate|Propose|Report</t>
  </si>
  <si>
    <t>Propose: the cfg_* table, e.g. cfg_setting</t>
  </si>
  <si>
    <t>insert|update|delete</t>
  </si>
  <si>
    <t>Propose: JSON row-identifier, e.g. {"key":"passage.review_over"}</t>
  </si>
  <si>
    <t>Propose: JSON of new values, e.g. {"value":"12"}</t>
  </si>
  <si>
    <t>Propose: representative description shown to the researcher</t>
  </si>
  <si>
    <t>resume a specific paused proposal</t>
  </si>
  <si>
    <t>iba\app\ps\Config-Maintenance.ps1</t>
  </si>
  <si>
    <t>iba\app\ps\ContentIndex-Rebuild.ps1</t>
  </si>
  <si>
    <t>-Query</t>
  </si>
  <si>
    <t>-Csv</t>
  </si>
  <si>
    <t>output as CSV</t>
  </si>
  <si>
    <t>iba\app\ps\ContentIndex-Search.ps1</t>
  </si>
  <si>
    <t>iba\app\ps\ContentIndex-SizeProfile.ps1</t>
  </si>
  <si>
    <t>-DbPath</t>
  </si>
  <si>
    <t>-ViewName</t>
  </si>
  <si>
    <t>-Apply</t>
  </si>
  <si>
    <t>-ReplaceExisting</t>
  </si>
  <si>
    <t>default: iba/app/db/iba.db</t>
  </si>
  <si>
    <t>default: vw_cfg_table_catalogue</t>
  </si>
  <si>
    <t>actually create/replace the view</t>
  </si>
  <si>
    <t>iba\app\ps\create-iba-view-template.ps1</t>
  </si>
  <si>
    <t>-OutDir</t>
  </si>
  <si>
    <t>-CsvFileName</t>
  </si>
  <si>
    <t>-DryRun</t>
  </si>
  <si>
    <t>default: vw_passage_verse_top10</t>
  </si>
  <si>
    <t>default: iba/app/config</t>
  </si>
  <si>
    <t>default: vw_passage_verse_top10.csv</t>
  </si>
  <si>
    <t>iba\app\ps\create-passage-view-and-export.ps1</t>
  </si>
  <si>
    <t>default: vw_passages_by_book</t>
  </si>
  <si>
    <t>default: Rom</t>
  </si>
  <si>
    <t>default: iba/app/config/views</t>
  </si>
  <si>
    <t>iba\app\ps\create-passages-by-book-view-and-export.ps1</t>
  </si>
  <si>
    <t>hib.set|passage.build|phenomenon.set|operation.set|closing.set</t>
  </si>
  <si>
    <t>resume a specific run</t>
  </si>
  <si>
    <t>iba\app\ps\Debate-Run.ps1</t>
  </si>
  <si>
    <t>See the researcher's own 'escalation actions worksheet.xlsx' -- that sheet already covers this script in full (Raise/Update/AnswerRun/etc) and is the model this whole workbook is based on. Not duplicated here.</t>
  </si>
  <si>
    <t>-ReportFileName</t>
  </si>
  <si>
    <t>-TableLike</t>
  </si>
  <si>
    <t>default: cfg-table-csv-index.md</t>
  </si>
  <si>
    <t>default: cfg_%</t>
  </si>
  <si>
    <t>iba\app\ps\export-iba-config-tables.ps1</t>
  </si>
  <si>
    <t>-Out</t>
  </si>
  <si>
    <t>-Database</t>
  </si>
  <si>
    <t>output directory override</t>
  </si>
  <si>
    <t>one or more table names, comma-separated -- repeat flag manually if needed</t>
  </si>
  <si>
    <t>registered project database (default: iba) -- e.g. bible_research</t>
  </si>
  <si>
    <t>iba\app\ps\Export-Tables.ps1</t>
  </si>
  <si>
    <t>-FolderPath</t>
  </si>
  <si>
    <t>-Type</t>
  </si>
  <si>
    <t>-Status</t>
  </si>
  <si>
    <t>-UsageDescription</t>
  </si>
  <si>
    <t>-TopLevelRoot</t>
  </si>
  <si>
    <t>Seed|CrossCheck|AutoAssess|Set|List|Show</t>
  </si>
  <si>
    <t>project-root-relative path</t>
  </si>
  <si>
    <t>archive|operations|results</t>
  </si>
  <si>
    <t>authoritative|mixed|reallocate|stale|deleted</t>
  </si>
  <si>
    <t>iba\app\ps\FolderPurpose.ps1</t>
  </si>
  <si>
    <t>-BaseName</t>
  </si>
  <si>
    <t>default: docs</t>
  </si>
  <si>
    <t>default: iba-db-schema-overview</t>
  </si>
  <si>
    <t>iba\app\ps\generate-iba-db-schema-report.ps1</t>
  </si>
  <si>
    <t>Parse|Related|Validate</t>
  </si>
  <si>
    <t>iba\app\ps\Lexicon-Parse.ps1</t>
  </si>
  <si>
    <t>iba\app\ps\Log-Retention.ps1</t>
  </si>
  <si>
    <t>iba\app\ps\Manifest-Rebuild.ps1</t>
  </si>
  <si>
    <t>e.g. grace, or registry:68, or type:observations</t>
  </si>
  <si>
    <t>iba\app\ps\Manifest-Search.ps1</t>
  </si>
  <si>
    <t>-Word</t>
  </si>
  <si>
    <t>-Source</t>
  </si>
  <si>
    <t>-Fresh</t>
  </si>
  <si>
    <t>the English word, e.g. compassion</t>
  </si>
  <si>
    <t>why this word -- provenance note</t>
  </si>
  <si>
    <t>ignore any partial prior run</t>
  </si>
  <si>
    <t>print every config read</t>
  </si>
  <si>
    <t>iba\app\ps\New-Word.ps1</t>
  </si>
  <si>
    <t>hib.set|phenomenon.set|operation.set|closing.set</t>
  </si>
  <si>
    <t>iba\app\ps\Operations-Ingest.ps1</t>
  </si>
  <si>
    <t>omit for all books</t>
  </si>
  <si>
    <t>iba\app\ps\Passage-Quality.ps1</t>
  </si>
  <si>
    <t>iba\app\ps\PassageDebate-Report.ps1</t>
  </si>
  <si>
    <t>iba\app\ps\PassageDebate-Sync.ps1</t>
  </si>
  <si>
    <t>Scan</t>
  </si>
  <si>
    <t>iba\app\ps\PathAudit.ps1</t>
  </si>
  <si>
    <t>-Chapter</t>
  </si>
  <si>
    <t>-TypeId</t>
  </si>
  <si>
    <t>-IncludeBody</t>
  </si>
  <si>
    <t>-AlsoMarkdown</t>
  </si>
  <si>
    <t>-AlsoDocx</t>
  </si>
  <si>
    <t>-Limit</t>
  </si>
  <si>
    <t>-Fts</t>
  </si>
  <si>
    <t>-Author</t>
  </si>
  <si>
    <t>-FlagCode</t>
  </si>
  <si>
    <t>-Description</t>
  </si>
  <si>
    <t>-Find</t>
  </si>
  <si>
    <t>-Replace</t>
  </si>
  <si>
    <t>-ProposalFile</t>
  </si>
  <si>
    <t>-SectionIds</t>
  </si>
  <si>
    <t>Extract|Search|ExportChapter|ImportChapter|Flag|FlagFixPropose|FlagFixApply|SetStatus</t>
  </si>
  <si>
    <t>Programme|Detail design|Findings|Essays</t>
  </si>
  <si>
    <t>prose_section_type.id</t>
  </si>
  <si>
    <t>Search</t>
  </si>
  <si>
    <t>Search: use FTS5</t>
  </si>
  <si>
    <t>ImportChapter</t>
  </si>
  <si>
    <t>FlagFixPropose</t>
  </si>
  <si>
    <t>FlagFixApply</t>
  </si>
  <si>
    <t>SetStatus</t>
  </si>
  <si>
    <t>draft|in_review|approved|archived</t>
  </si>
  <si>
    <t>override output path</t>
  </si>
  <si>
    <t>iba\app\ps\Prose.ps1</t>
  </si>
  <si>
    <t>e.g. 1-9 (chapters)</t>
  </si>
  <si>
    <t>iba\app\ps\Raw-Backfill.ps1</t>
  </si>
  <si>
    <t>iba\app\ps\Registry-Report.ps1</t>
  </si>
  <si>
    <t>ReportWord|ValidationWord|ValidationBook</t>
  </si>
  <si>
    <t>iba\app\ps\Reports.ps1</t>
  </si>
  <si>
    <t>iba\app\ps\SchemaOverview-Report.ps1</t>
  </si>
  <si>
    <t>iba\app\ps\SeedCandidate-Report.ps1</t>
  </si>
  <si>
    <t>iba\app\ps\Set-Candidates.ps1</t>
  </si>
  <si>
    <t>iba\app\ps\SpanAnalysis-Report.ps1</t>
  </si>
  <si>
    <t>-Reload</t>
  </si>
  <si>
    <t>-Reset</t>
  </si>
  <si>
    <t>reseed config from source</t>
  </si>
  <si>
    <t>full reset</t>
  </si>
  <si>
    <t>iba\app\ps\Start-Iba.ps1</t>
  </si>
  <si>
    <t>iba\app\ps\StrongMeaning-Report.ps1</t>
  </si>
  <si>
    <t>-Strong</t>
  </si>
  <si>
    <t>e.g. H2734</t>
  </si>
  <si>
    <t>iba\app\ps\StrongVerse-Report.ps1</t>
  </si>
  <si>
    <t>iba\app\ps\VerseSpanMeaning-Report.ps1</t>
  </si>
  <si>
    <t>iba\app\ps\WholeBookRead-Report.ps1</t>
  </si>
  <si>
    <t>iba\app\ps\WordRegistrySpan-Report.ps1</t>
  </si>
  <si>
    <t>Catalogue-Report.ps1</t>
  </si>
  <si>
    <t>Structural review of wa_obs_question_catalogue (bible_research.db) -- no findings/joins. Escalation #1007 second half. Read-only.</t>
  </si>
  <si>
    <t>iba\app\ps\Catalogue-Report.ps1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</si>
</sst>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</font>
    <font>
      <sz val="9"/>
      <color rgb="FF80808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rgb="FF808080"/>
      <name val="Calibri"/>
      <family val="2"/>
    </font>
    <font>
      <sz val="11"/>
      <color rgb="FF006100"/>
      <name val="Calibri"/>
      <family val="2"/>
    </font>
    <font>
      <b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0">
    <xf numFmtId="0" fontId="0" fillId="0" borderId="0" xfId="0" applyBorder="1"/>
    <xf numFmtId="0" fontId="1" fillId="0" borderId="1" xfId="0" applyFont="1" applyAlignment="1">
      <alignment horizontal="left"/>
    </xf>
    <xf numFmtId="0" fontId="0" fillId="0" borderId="0" xfId="0" applyBorder="1" applyAlignment="1">
      <alignment wrapText="1"/>
    </xf>
    <xf numFmtId="0" fontId="2" fillId="0" borderId="1" xfId="0" applyFont="1" applyAlignment="1">
      <alignment horizontal="left" wrapText="1"/>
    </xf>
    <xf numFmtId="0" fontId="3" fillId="2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wrapText="1"/>
    </xf>
    <xf numFmtId="3" fontId="0" fillId="0" borderId="0" xfId="0" applyNumberFormat="1" applyBorder="1" applyAlignment="1">
      <alignment wrapText="1"/>
    </xf>
    <xf numFmtId="0" fontId="1" fillId="0" borderId="1" xfId="0" applyFont="1" applyAlignment="1">
      <alignment horizontal="left" wrapText="1"/>
    </xf>
    <xf numFmtId="0" fontId="4" fillId="0" borderId="1" xfId="0" applyFont="1" applyAlignment="1">
      <alignment horizontal="left" wrapText="1"/>
    </xf>
    <xf numFmtId="0" fontId="3" fillId="0" borderId="1" xfId="0" applyFont="1" applyAlignment="1">
      <alignment horizontal="left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wrapText="1"/>
    </xf>
    <xf numFmtId="0" fontId="6" fillId="0" borderId="0" xfId="0" applyFont="1" applyBorder="1" applyAlignment="1">
      <alignment wrapText="1"/>
    </xf>
    <xf numFmtId="0" fontId="7" fillId="0" borderId="0" xfId="0" applyFont="1" applyBorder="1" applyAlignment="1">
      <alignment wrapText="1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2" fillId="0" borderId="1" xfId="0" applyFont="1" applyAlignment="1">
      <alignment horizontal="left" wrapText="1"/>
    </xf>
    <xf numFmtId="0" fontId="0" fillId="0" borderId="0" xfId="0" applyBorder="1" applyAlignment="1">
      <alignment wrapText="1"/>
    </xf>
    <xf numFmtId="0" fontId="4" fillId="0" borderId="1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52"/>
  <sheetViews>
    <sheetView topLeftCell="A35" workbookViewId="0">
      <selection activeCell="A42" sqref="A42"/>
    </sheetView>
  </sheetViews>
  <sheetFormatPr defaultRowHeight="15" x14ac:dyDescent="0.25"/>
  <cols>
    <col min="1" max="1" width="34" bestFit="1" customWidth="1"/>
    <col min="2" max="2" width="80" bestFit="1" customWidth="1"/>
    <col min="3" max="3" width="24" bestFit="1" customWidth="1"/>
    <col min="4" max="6" width="13.5703125" bestFit="1" customWidth="1"/>
  </cols>
  <sheetData>
    <row r="1" spans="1:6" ht="18.75" customHeight="1" x14ac:dyDescent="0.3">
      <c r="A1" s="1" t="s">
        <v>17</v>
      </c>
    </row>
    <row r="2" spans="1:6" s="2" customFormat="1" ht="60" customHeight="1" x14ac:dyDescent="0.25">
      <c r="A2" s="19" t="s">
        <v>18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9" t="s">
        <v>19</v>
      </c>
      <c r="B4" s="9" t="s">
        <v>20</v>
      </c>
      <c r="C4" s="10" t="s">
        <v>21</v>
      </c>
    </row>
    <row r="5" spans="1:6" s="2" customFormat="1" ht="18.75" customHeight="1" x14ac:dyDescent="0.25">
      <c r="A5" s="2" t="s">
        <v>22</v>
      </c>
      <c r="B5" s="8" t="s">
        <v>23</v>
      </c>
      <c r="C5" s="11" t="s">
        <v>24</v>
      </c>
    </row>
    <row r="6" spans="1:6" s="2" customFormat="1" ht="18.75" customHeight="1" x14ac:dyDescent="0.25">
      <c r="A6" s="2" t="s">
        <v>25</v>
      </c>
      <c r="B6" s="8" t="s">
        <v>26</v>
      </c>
      <c r="C6" s="12" t="s">
        <v>27</v>
      </c>
    </row>
    <row r="7" spans="1:6" s="2" customFormat="1" ht="18.75" customHeight="1" x14ac:dyDescent="0.25">
      <c r="A7" s="2" t="s">
        <v>28</v>
      </c>
      <c r="B7" s="8" t="s">
        <v>29</v>
      </c>
      <c r="C7" s="13" t="s">
        <v>30</v>
      </c>
    </row>
    <row r="8" spans="1:6" s="2" customFormat="1" ht="18.75" customHeight="1" x14ac:dyDescent="0.25">
      <c r="A8" s="2" t="s">
        <v>31</v>
      </c>
      <c r="B8" s="8" t="s">
        <v>32</v>
      </c>
      <c r="C8" s="13" t="s">
        <v>30</v>
      </c>
    </row>
    <row r="9" spans="1:6" s="2" customFormat="1" ht="18.75" customHeight="1" x14ac:dyDescent="0.25">
      <c r="A9" s="2" t="s">
        <v>33</v>
      </c>
      <c r="B9" s="8" t="s">
        <v>34</v>
      </c>
      <c r="C9" s="12" t="s">
        <v>27</v>
      </c>
    </row>
    <row r="10" spans="1:6" s="2" customFormat="1" ht="18.75" customHeight="1" x14ac:dyDescent="0.25">
      <c r="A10" s="2" t="s">
        <v>35</v>
      </c>
      <c r="B10" s="8" t="s">
        <v>36</v>
      </c>
      <c r="C10" s="13" t="s">
        <v>30</v>
      </c>
    </row>
    <row r="11" spans="1:6" s="2" customFormat="1" ht="18.75" customHeight="1" x14ac:dyDescent="0.25">
      <c r="A11" s="2" t="s">
        <v>37</v>
      </c>
      <c r="B11" s="8" t="s">
        <v>38</v>
      </c>
      <c r="C11" s="13" t="s">
        <v>30</v>
      </c>
    </row>
    <row r="12" spans="1:6" s="2" customFormat="1" ht="18.75" customHeight="1" x14ac:dyDescent="0.25">
      <c r="A12" s="2" t="s">
        <v>39</v>
      </c>
      <c r="B12" s="8" t="s">
        <v>40</v>
      </c>
      <c r="C12" s="13" t="s">
        <v>30</v>
      </c>
    </row>
    <row r="13" spans="1:6" s="2" customFormat="1" ht="18.75" customHeight="1" x14ac:dyDescent="0.25">
      <c r="A13" s="2" t="s">
        <v>41</v>
      </c>
      <c r="B13" s="8" t="s">
        <v>42</v>
      </c>
      <c r="C13" s="12" t="s">
        <v>27</v>
      </c>
    </row>
    <row r="14" spans="1:6" s="2" customFormat="1" ht="18.75" customHeight="1" x14ac:dyDescent="0.25">
      <c r="A14" s="2" t="s">
        <v>43</v>
      </c>
      <c r="B14" s="8" t="s">
        <v>44</v>
      </c>
      <c r="C14" s="12" t="s">
        <v>27</v>
      </c>
    </row>
    <row r="15" spans="1:6" s="2" customFormat="1" ht="18.75" customHeight="1" x14ac:dyDescent="0.25">
      <c r="A15" s="2" t="s">
        <v>45</v>
      </c>
      <c r="B15" s="8" t="s">
        <v>46</v>
      </c>
      <c r="C15" s="12" t="s">
        <v>27</v>
      </c>
    </row>
    <row r="16" spans="1:6" s="2" customFormat="1" ht="18.75" customHeight="1" x14ac:dyDescent="0.25">
      <c r="A16" s="2" t="s">
        <v>47</v>
      </c>
      <c r="B16" s="8" t="s">
        <v>48</v>
      </c>
      <c r="C16" s="12" t="s">
        <v>27</v>
      </c>
    </row>
    <row r="17" spans="1:3" s="2" customFormat="1" ht="18.75" customHeight="1" x14ac:dyDescent="0.25">
      <c r="A17" s="2" t="s">
        <v>49</v>
      </c>
      <c r="B17" s="8" t="s">
        <v>50</v>
      </c>
      <c r="C17" s="12" t="s">
        <v>27</v>
      </c>
    </row>
    <row r="18" spans="1:3" s="2" customFormat="1" ht="18.75" customHeight="1" x14ac:dyDescent="0.25">
      <c r="A18" s="2" t="s">
        <v>51</v>
      </c>
      <c r="B18" s="8" t="s">
        <v>52</v>
      </c>
      <c r="C18" s="12" t="s">
        <v>27</v>
      </c>
    </row>
    <row r="19" spans="1:3" s="2" customFormat="1" ht="18.75" customHeight="1" x14ac:dyDescent="0.25">
      <c r="A19" s="2" t="s">
        <v>53</v>
      </c>
      <c r="B19" s="8" t="s">
        <v>54</v>
      </c>
      <c r="C19" s="11" t="s">
        <v>24</v>
      </c>
    </row>
    <row r="20" spans="1:3" s="2" customFormat="1" ht="18.75" customHeight="1" x14ac:dyDescent="0.25">
      <c r="A20" s="2" t="s">
        <v>55</v>
      </c>
      <c r="B20" s="8" t="s">
        <v>56</v>
      </c>
      <c r="C20" s="11" t="s">
        <v>24</v>
      </c>
    </row>
    <row r="21" spans="1:3" s="2" customFormat="1" ht="18.75" customHeight="1" x14ac:dyDescent="0.25">
      <c r="A21" s="2" t="s">
        <v>57</v>
      </c>
      <c r="B21" s="8" t="s">
        <v>58</v>
      </c>
      <c r="C21" s="11" t="s">
        <v>24</v>
      </c>
    </row>
    <row r="22" spans="1:3" s="2" customFormat="1" ht="18.75" customHeight="1" x14ac:dyDescent="0.25">
      <c r="A22" s="2" t="s">
        <v>59</v>
      </c>
      <c r="B22" s="8" t="s">
        <v>60</v>
      </c>
      <c r="C22" s="11" t="s">
        <v>24</v>
      </c>
    </row>
    <row r="23" spans="1:3" s="2" customFormat="1" ht="18.75" customHeight="1" x14ac:dyDescent="0.25">
      <c r="A23" s="2" t="s">
        <v>61</v>
      </c>
      <c r="B23" s="8" t="s">
        <v>62</v>
      </c>
      <c r="C23" s="12" t="s">
        <v>27</v>
      </c>
    </row>
    <row r="24" spans="1:3" s="2" customFormat="1" ht="18.75" customHeight="1" x14ac:dyDescent="0.25">
      <c r="A24" s="2" t="s">
        <v>63</v>
      </c>
      <c r="B24" s="8" t="s">
        <v>64</v>
      </c>
      <c r="C24" s="11" t="s">
        <v>24</v>
      </c>
    </row>
    <row r="25" spans="1:3" s="2" customFormat="1" ht="18.75" customHeight="1" x14ac:dyDescent="0.25">
      <c r="A25" s="2" t="s">
        <v>65</v>
      </c>
      <c r="B25" s="8" t="s">
        <v>66</v>
      </c>
      <c r="C25" s="12" t="s">
        <v>27</v>
      </c>
    </row>
    <row r="26" spans="1:3" s="2" customFormat="1" ht="18.75" customHeight="1" x14ac:dyDescent="0.25">
      <c r="A26" s="2" t="s">
        <v>67</v>
      </c>
      <c r="B26" s="8" t="s">
        <v>68</v>
      </c>
      <c r="C26" s="12" t="s">
        <v>27</v>
      </c>
    </row>
    <row r="27" spans="1:3" s="2" customFormat="1" ht="18.75" customHeight="1" x14ac:dyDescent="0.25">
      <c r="A27" s="2" t="s">
        <v>69</v>
      </c>
      <c r="B27" s="8" t="s">
        <v>70</v>
      </c>
      <c r="C27" s="11" t="s">
        <v>24</v>
      </c>
    </row>
    <row r="28" spans="1:3" s="2" customFormat="1" ht="18.75" customHeight="1" x14ac:dyDescent="0.25">
      <c r="A28" s="2" t="s">
        <v>71</v>
      </c>
      <c r="B28" s="8" t="s">
        <v>72</v>
      </c>
      <c r="C28" s="12" t="s">
        <v>27</v>
      </c>
    </row>
    <row r="29" spans="1:3" s="2" customFormat="1" ht="18.75" customHeight="1" x14ac:dyDescent="0.25">
      <c r="A29" s="2" t="s">
        <v>73</v>
      </c>
      <c r="B29" s="8" t="s">
        <v>74</v>
      </c>
      <c r="C29" s="12" t="s">
        <v>27</v>
      </c>
    </row>
    <row r="30" spans="1:3" s="2" customFormat="1" ht="18.75" customHeight="1" x14ac:dyDescent="0.25">
      <c r="A30" s="2" t="s">
        <v>75</v>
      </c>
      <c r="B30" s="8" t="s">
        <v>76</v>
      </c>
      <c r="C30" s="12" t="s">
        <v>27</v>
      </c>
    </row>
    <row r="31" spans="1:3" s="2" customFormat="1" ht="18.75" customHeight="1" x14ac:dyDescent="0.25">
      <c r="A31" s="2" t="s">
        <v>77</v>
      </c>
      <c r="B31" s="8" t="s">
        <v>78</v>
      </c>
      <c r="C31" s="12" t="s">
        <v>27</v>
      </c>
    </row>
    <row r="32" spans="1:3" s="2" customFormat="1" ht="18.75" customHeight="1" x14ac:dyDescent="0.25">
      <c r="A32" s="2" t="s">
        <v>79</v>
      </c>
      <c r="B32" s="8" t="s">
        <v>80</v>
      </c>
      <c r="C32" s="12" t="s">
        <v>27</v>
      </c>
    </row>
    <row r="33" spans="1:3" s="2" customFormat="1" ht="18.75" customHeight="1" x14ac:dyDescent="0.25">
      <c r="A33" s="2" t="s">
        <v>81</v>
      </c>
      <c r="B33" s="8" t="s">
        <v>82</v>
      </c>
      <c r="C33" s="12" t="s">
        <v>27</v>
      </c>
    </row>
    <row r="34" spans="1:3" s="2" customFormat="1" ht="18.75" customHeight="1" x14ac:dyDescent="0.25">
      <c r="A34" s="2" t="s">
        <v>83</v>
      </c>
      <c r="B34" s="8" t="s">
        <v>84</v>
      </c>
      <c r="C34" s="12" t="s">
        <v>27</v>
      </c>
    </row>
    <row r="35" spans="1:3" s="2" customFormat="1" ht="18.75" customHeight="1" x14ac:dyDescent="0.25">
      <c r="A35" s="2" t="s">
        <v>85</v>
      </c>
      <c r="B35" s="8" t="s">
        <v>86</v>
      </c>
      <c r="C35" s="13" t="s">
        <v>30</v>
      </c>
    </row>
    <row r="36" spans="1:3" s="2" customFormat="1" ht="18.75" customHeight="1" x14ac:dyDescent="0.25">
      <c r="A36" s="2" t="s">
        <v>87</v>
      </c>
      <c r="B36" s="8" t="s">
        <v>88</v>
      </c>
      <c r="C36" s="13" t="s">
        <v>30</v>
      </c>
    </row>
    <row r="37" spans="1:3" s="2" customFormat="1" ht="18.75" customHeight="1" x14ac:dyDescent="0.25">
      <c r="A37" s="2" t="s">
        <v>89</v>
      </c>
      <c r="B37" s="8" t="s">
        <v>90</v>
      </c>
      <c r="C37" s="12" t="s">
        <v>27</v>
      </c>
    </row>
    <row r="38" spans="1:3" s="2" customFormat="1" ht="18.75" customHeight="1" x14ac:dyDescent="0.25">
      <c r="A38" s="2" t="s">
        <v>91</v>
      </c>
      <c r="B38" s="8" t="s">
        <v>92</v>
      </c>
      <c r="C38" s="12" t="s">
        <v>27</v>
      </c>
    </row>
    <row r="39" spans="1:3" s="2" customFormat="1" ht="18.75" customHeight="1" x14ac:dyDescent="0.25">
      <c r="A39" s="2" t="s">
        <v>93</v>
      </c>
      <c r="B39" s="8" t="s">
        <v>94</v>
      </c>
      <c r="C39" s="12" t="s">
        <v>27</v>
      </c>
    </row>
    <row r="40" spans="1:3" s="2" customFormat="1" ht="18.75" customHeight="1" x14ac:dyDescent="0.25">
      <c r="A40" s="2" t="s">
        <v>95</v>
      </c>
      <c r="B40" s="8" t="s">
        <v>96</v>
      </c>
      <c r="C40" s="12" t="s">
        <v>27</v>
      </c>
    </row>
    <row r="41" spans="1:3" s="2" customFormat="1" ht="18.75" customHeight="1" x14ac:dyDescent="0.25">
      <c r="A41" s="2" t="s">
        <v>97</v>
      </c>
      <c r="B41" s="8" t="s">
        <v>98</v>
      </c>
      <c r="C41" s="12" t="s">
        <v>27</v>
      </c>
    </row>
    <row r="42" spans="1:3" s="2" customFormat="1" ht="18.75" customHeight="1" x14ac:dyDescent="0.25">
      <c r="A42" s="2" t="s">
        <v>99</v>
      </c>
      <c r="B42" s="8" t="s">
        <v>100</v>
      </c>
      <c r="C42" s="12" t="s">
        <v>27</v>
      </c>
    </row>
    <row r="43" spans="1:3" s="2" customFormat="1" ht="18.75" customHeight="1" x14ac:dyDescent="0.25">
      <c r="A43" s="2" t="s">
        <v>101</v>
      </c>
      <c r="B43" s="8" t="s">
        <v>102</v>
      </c>
      <c r="C43" s="13" t="s">
        <v>30</v>
      </c>
    </row>
    <row r="44" spans="1:3" s="2" customFormat="1" ht="18.75" customHeight="1" x14ac:dyDescent="0.25">
      <c r="A44" s="2" t="s">
        <v>103</v>
      </c>
      <c r="B44" s="8" t="s">
        <v>104</v>
      </c>
      <c r="C44" s="13" t="s">
        <v>30</v>
      </c>
    </row>
    <row r="45" spans="1:3" s="2" customFormat="1" ht="18.75" customHeight="1" x14ac:dyDescent="0.25">
      <c r="A45" s="2" t="s">
        <v>105</v>
      </c>
      <c r="B45" s="8" t="s">
        <v>106</v>
      </c>
      <c r="C45" s="12" t="s">
        <v>27</v>
      </c>
    </row>
    <row r="46" spans="1:3" s="2" customFormat="1" ht="18.75" customHeight="1" x14ac:dyDescent="0.25">
      <c r="A46" s="2" t="s">
        <v>107</v>
      </c>
      <c r="B46" s="8" t="s">
        <v>108</v>
      </c>
      <c r="C46" s="11" t="s">
        <v>24</v>
      </c>
    </row>
    <row r="47" spans="1:3" s="2" customFormat="1" ht="18.75" customHeight="1" x14ac:dyDescent="0.25">
      <c r="A47" s="2" t="s">
        <v>109</v>
      </c>
      <c r="B47" s="8" t="s">
        <v>110</v>
      </c>
      <c r="C47" s="12" t="s">
        <v>27</v>
      </c>
    </row>
    <row r="48" spans="1:3" s="2" customFormat="1" ht="18.75" customHeight="1" x14ac:dyDescent="0.25">
      <c r="A48" s="2" t="s">
        <v>111</v>
      </c>
      <c r="B48" s="8" t="s">
        <v>112</v>
      </c>
      <c r="C48" s="12" t="s">
        <v>27</v>
      </c>
    </row>
    <row r="49" spans="1:3" s="2" customFormat="1" ht="18.75" customHeight="1" x14ac:dyDescent="0.25">
      <c r="A49" s="2" t="s">
        <v>0</v>
      </c>
      <c r="B49" s="8" t="s">
        <v>113</v>
      </c>
      <c r="C49" s="12" t="s">
        <v>27</v>
      </c>
    </row>
    <row r="50" spans="1:3" s="2" customFormat="1" ht="18.75" customHeight="1" x14ac:dyDescent="0.25">
      <c r="A50" s="2" t="s">
        <v>114</v>
      </c>
      <c r="B50" s="8" t="s">
        <v>115</v>
      </c>
      <c r="C50" s="13" t="s">
        <v>30</v>
      </c>
    </row>
    <row r="51" spans="1:3" s="2" customFormat="1" ht="18.75" customHeight="1" x14ac:dyDescent="0.25">
      <c r="A51" s="2" t="s">
        <v>116</v>
      </c>
      <c r="B51" s="8" t="s">
        <v>117</v>
      </c>
      <c r="C51" s="12" t="s">
        <v>27</v>
      </c>
    </row>
    <row r="52" spans="1:3" s="2" customFormat="1" ht="18.75" customHeight="1" x14ac:dyDescent="0.25">
      <c r="A52" s="2" t="s">
        <v>118</v>
      </c>
      <c r="B52" s="8" t="s">
        <v>119</v>
      </c>
      <c r="C52" s="12" t="s">
        <v>27</v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22</v>
      </c>
    </row>
    <row r="2" spans="1:4" s="2" customFormat="1" ht="18.75" customHeight="1" x14ac:dyDescent="0.25">
      <c r="A2" s="17" t="s">
        <v>23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120</v>
      </c>
      <c r="D4" s="4" t="s">
        <v>121</v>
      </c>
    </row>
    <row r="5" spans="1:4" s="2" customFormat="1" ht="18.75" customHeight="1" x14ac:dyDescent="0.25">
      <c r="C5" s="3" t="s">
        <v>122</v>
      </c>
      <c r="D5" s="3" t="s">
        <v>123</v>
      </c>
    </row>
    <row r="6" spans="1:4" s="2" customFormat="1" ht="18.75" customHeight="1" x14ac:dyDescent="0.25">
      <c r="A6" s="2" t="s">
        <v>124</v>
      </c>
      <c r="B6" s="5" t="str">
        <f>A6&amp;" "&amp;IF(C6="","",$C$4&amp;" "&amp;C6&amp;" ")&amp;IF(D6="","",$D$4&amp;" "&amp;D6&amp;" ")</f>
        <v xml:space="preserve">iba\app\ps\Behaviour.ps1 </v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25</v>
      </c>
    </row>
    <row r="2" spans="1:6" s="2" customFormat="1" ht="18.75" customHeight="1" x14ac:dyDescent="0.25">
      <c r="A2" s="17" t="s">
        <v>26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4</v>
      </c>
      <c r="D4" s="4" t="s">
        <v>7</v>
      </c>
      <c r="E4" s="4" t="s">
        <v>8</v>
      </c>
      <c r="F4" s="4" t="s">
        <v>9</v>
      </c>
    </row>
    <row r="5" spans="1:6" ht="18.75" customHeight="1" x14ac:dyDescent="0.25"/>
    <row r="6" spans="1:6" s="2" customFormat="1" ht="18.75" customHeight="1" x14ac:dyDescent="0.25">
      <c r="A6" s="2" t="s">
        <v>125</v>
      </c>
      <c r="B6" s="5" t="str">
        <f>A6&amp;" "&amp;IF(C6="","",$C$4&amp;" '"&amp;C6&amp;"' ")&amp;IF(D6="","",$D$4&amp;" '"&amp;D6&amp;"' ")&amp;IF(E6="","",$E$4&amp;" '"&amp;E6&amp;"' ")&amp;IF(F6&lt;&gt;"",$F$4&amp;" ","")</f>
        <v xml:space="preserve">iba\app\ps\Book-Narrative.ps1 </v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28</v>
      </c>
    </row>
    <row r="2" spans="1:6" s="2" customFormat="1" ht="18.75" customHeight="1" x14ac:dyDescent="0.25">
      <c r="A2" s="17" t="s">
        <v>29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4</v>
      </c>
      <c r="D4" s="4" t="s">
        <v>7</v>
      </c>
      <c r="E4" s="4" t="s">
        <v>8</v>
      </c>
      <c r="F4" s="4" t="s">
        <v>9</v>
      </c>
    </row>
    <row r="5" spans="1:6" ht="18.75" customHeight="1" x14ac:dyDescent="0.25"/>
    <row r="6" spans="1:6" s="2" customFormat="1" ht="18.75" customHeight="1" x14ac:dyDescent="0.25">
      <c r="A6" s="2" t="s">
        <v>126</v>
      </c>
      <c r="B6" s="5" t="str">
        <f>A6&amp;" "&amp;IF(C6="","",$C$4&amp;" '"&amp;C6&amp;"' ")&amp;IF(D6="","",$D$4&amp;" '"&amp;D6&amp;"' ")&amp;IF(E6="","",$E$4&amp;" '"&amp;E6&amp;"' ")&amp;IF(F6&lt;&gt;"",$F$4&amp;" ","")</f>
        <v xml:space="preserve">iba\app\ps\BookNarrative-Generate.ps1 </v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31</v>
      </c>
    </row>
    <row r="2" spans="1:4" s="2" customFormat="1" ht="18.75" customHeight="1" x14ac:dyDescent="0.25">
      <c r="A2" s="17" t="s">
        <v>32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127</v>
      </c>
      <c r="D4" s="4" t="s">
        <v>9</v>
      </c>
    </row>
    <row r="5" spans="1:4" s="2" customFormat="1" ht="18.75" customHeight="1" x14ac:dyDescent="0.25">
      <c r="C5" s="3" t="s">
        <v>128</v>
      </c>
    </row>
    <row r="6" spans="1:4" s="2" customFormat="1" ht="18.75" customHeight="1" x14ac:dyDescent="0.25">
      <c r="A6" s="2" t="s">
        <v>129</v>
      </c>
      <c r="B6" s="5" t="str">
        <f>A6&amp;" "&amp;IF(C6="","",$C$4&amp;" '"&amp;C6&amp;"' ")&amp;IF(D6&lt;&gt;"",$D$4&amp;" ","")</f>
        <v xml:space="preserve">iba\app\ps\BookNarrative-Validate.ps1 </v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G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7" width="22" bestFit="1" customWidth="1"/>
  </cols>
  <sheetData>
    <row r="1" spans="1:7" ht="18.75" customHeight="1" x14ac:dyDescent="0.3">
      <c r="A1" s="1" t="s">
        <v>33</v>
      </c>
    </row>
    <row r="2" spans="1:7" s="2" customFormat="1" ht="18.75" customHeight="1" x14ac:dyDescent="0.25">
      <c r="A2" s="17" t="s">
        <v>34</v>
      </c>
      <c r="B2" s="18"/>
      <c r="C2" s="18"/>
      <c r="D2" s="18"/>
      <c r="E2" s="18"/>
      <c r="F2" s="18"/>
      <c r="G2" s="18"/>
    </row>
    <row r="3" spans="1:7" ht="18.75" customHeight="1" x14ac:dyDescent="0.25"/>
    <row r="4" spans="1:7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130</v>
      </c>
      <c r="G4" s="4" t="s">
        <v>9</v>
      </c>
    </row>
    <row r="5" spans="1:7" s="2" customFormat="1" ht="18.75" customHeight="1" x14ac:dyDescent="0.25">
      <c r="F5" s="3" t="s">
        <v>131</v>
      </c>
    </row>
    <row r="6" spans="1:7" s="2" customFormat="1" ht="18.75" customHeight="1" x14ac:dyDescent="0.25">
      <c r="A6" s="2" t="s">
        <v>132</v>
      </c>
      <c r="B6" s="5" t="str">
        <f>A6&amp;" "&amp;IF(C6="","",$C$4&amp;" '"&amp;C6&amp;"' ")&amp;IF(D6="","",$D$4&amp;" '"&amp;D6&amp;"' ")&amp;IF(E6="","",$E$4&amp;" '"&amp;E6&amp;"' ")&amp;IF(F6="","",$F$4&amp;" '"&amp;F6&amp;"' ")&amp;IF(G6&lt;&gt;"",$G$4&amp;" ","")</f>
        <v xml:space="preserve">iba\app\ps\Build-Passages.ps1 </v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K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11" width="22" bestFit="1" customWidth="1"/>
  </cols>
  <sheetData>
    <row r="1" spans="1:11" ht="18.75" customHeight="1" x14ac:dyDescent="0.3">
      <c r="A1" s="1" t="s">
        <v>35</v>
      </c>
    </row>
    <row r="2" spans="1:11" s="2" customFormat="1" ht="18.75" customHeight="1" x14ac:dyDescent="0.25">
      <c r="A2" s="17" t="s">
        <v>36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8.75" customHeight="1" x14ac:dyDescent="0.25"/>
    <row r="4" spans="1:11" ht="18.75" customHeight="1" x14ac:dyDescent="0.25">
      <c r="A4" s="4" t="s">
        <v>2</v>
      </c>
      <c r="B4" s="4" t="s">
        <v>3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  <c r="I4" s="4" t="s">
        <v>139</v>
      </c>
      <c r="J4" s="4" t="s">
        <v>8</v>
      </c>
      <c r="K4" s="4" t="s">
        <v>9</v>
      </c>
    </row>
    <row r="5" spans="1:11" s="2" customFormat="1" ht="18.75" customHeight="1" x14ac:dyDescent="0.25">
      <c r="C5" s="3" t="s">
        <v>140</v>
      </c>
      <c r="E5" s="3" t="s">
        <v>141</v>
      </c>
      <c r="H5" s="3" t="s">
        <v>142</v>
      </c>
    </row>
    <row r="6" spans="1:11" s="2" customFormat="1" ht="18.75" customHeight="1" x14ac:dyDescent="0.25">
      <c r="A6" s="2" t="s">
        <v>143</v>
      </c>
      <c r="B6" s="5" t="str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 xml:space="preserve">iba\app\ps\Candidate-Curate.ps1 </v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37</v>
      </c>
    </row>
    <row r="2" spans="1:4" s="2" customFormat="1" ht="18.75" customHeight="1" x14ac:dyDescent="0.25">
      <c r="A2" s="17" t="s">
        <v>38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144</v>
      </c>
      <c r="B6" s="5" t="str">
        <f>A6&amp;" "&amp;IF(C6="","",$C$4&amp;" '"&amp;C6&amp;"' ")&amp;IF(D6&lt;&gt;"",$D$4&amp;" ","")</f>
        <v xml:space="preserve">iba\app\ps\Candidate-Quality.ps1 </v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8" width="22" bestFit="1" customWidth="1"/>
  </cols>
  <sheetData>
    <row r="1" spans="1:8" ht="18.75" customHeight="1" x14ac:dyDescent="0.3">
      <c r="A1" s="1" t="s">
        <v>39</v>
      </c>
    </row>
    <row r="2" spans="1:8" s="2" customFormat="1" ht="18.75" customHeight="1" x14ac:dyDescent="0.25">
      <c r="A2" s="17" t="s">
        <v>40</v>
      </c>
      <c r="B2" s="18"/>
      <c r="C2" s="18"/>
      <c r="D2" s="18"/>
      <c r="E2" s="18"/>
      <c r="F2" s="18"/>
      <c r="G2" s="18"/>
      <c r="H2" s="18"/>
    </row>
    <row r="3" spans="1:8" ht="18.75" customHeight="1" x14ac:dyDescent="0.25"/>
    <row r="4" spans="1:8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8.75" customHeight="1" x14ac:dyDescent="0.25"/>
    <row r="6" spans="1:8" s="2" customFormat="1" ht="18.75" customHeight="1" x14ac:dyDescent="0.25">
      <c r="A6" s="2" t="s">
        <v>145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 xml:space="preserve">iba\app\ps\Chapter-Generate.ps1 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41</v>
      </c>
    </row>
    <row r="2" spans="1:5" s="2" customFormat="1" ht="18.75" customHeight="1" x14ac:dyDescent="0.25">
      <c r="A2" s="17" t="s">
        <v>42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10</v>
      </c>
      <c r="D4" s="4" t="s">
        <v>8</v>
      </c>
      <c r="E4" s="4" t="s">
        <v>9</v>
      </c>
    </row>
    <row r="5" spans="1:5" s="2" customFormat="1" ht="18.75" customHeight="1" x14ac:dyDescent="0.25">
      <c r="C5" s="3" t="s">
        <v>146</v>
      </c>
    </row>
    <row r="6" spans="1:5" s="2" customFormat="1" ht="18.75" customHeight="1" x14ac:dyDescent="0.25">
      <c r="A6" s="2" t="s">
        <v>147</v>
      </c>
      <c r="B6" s="5" t="str">
        <f>A6&amp;" "&amp;IF(C6="","",$C$4&amp;" "&amp;C6&amp;" ")&amp;IF(D6="","",$D$4&amp;" '"&amp;D6&amp;"' ")&amp;IF(E6&lt;&gt;"",$E$4&amp;" ","")</f>
        <v xml:space="preserve">iba\app\ps\Cluster-Assign.ps1 </v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43</v>
      </c>
    </row>
    <row r="2" spans="1:4" s="2" customFormat="1" ht="18.75" customHeight="1" x14ac:dyDescent="0.25">
      <c r="A2" s="17" t="s">
        <v>44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148</v>
      </c>
      <c r="B6" s="5" t="str">
        <f>A6&amp;" "&amp;IF(C6="","",$C$4&amp;" '"&amp;C6&amp;"' ")&amp;IF(D6&lt;&gt;"",$D$4&amp;" ","")</f>
        <v xml:space="preserve">iba\app\ps\Cluster-Report.ps1 </v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J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10" width="22" bestFit="1" customWidth="1"/>
  </cols>
  <sheetData>
    <row r="1" spans="1:10" ht="18.75" customHeight="1" x14ac:dyDescent="0.3">
      <c r="A1" s="1" t="s">
        <v>45</v>
      </c>
    </row>
    <row r="2" spans="1:10" s="2" customFormat="1" ht="18.75" customHeight="1" x14ac:dyDescent="0.25">
      <c r="A2" s="17" t="s">
        <v>46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18.75" customHeight="1" x14ac:dyDescent="0.25"/>
    <row r="4" spans="1:10" ht="18.75" customHeight="1" x14ac:dyDescent="0.25">
      <c r="A4" s="4" t="s">
        <v>2</v>
      </c>
      <c r="B4" s="4" t="s">
        <v>3</v>
      </c>
      <c r="C4" s="4" t="s">
        <v>10</v>
      </c>
      <c r="D4" s="4" t="s">
        <v>149</v>
      </c>
      <c r="E4" s="4" t="s">
        <v>150</v>
      </c>
      <c r="F4" s="4" t="s">
        <v>151</v>
      </c>
      <c r="G4" s="4" t="s">
        <v>152</v>
      </c>
      <c r="H4" s="4" t="s">
        <v>139</v>
      </c>
      <c r="I4" s="4" t="s">
        <v>8</v>
      </c>
      <c r="J4" s="4" t="s">
        <v>9</v>
      </c>
    </row>
    <row r="5" spans="1:10" s="2" customFormat="1" ht="18.75" customHeight="1" x14ac:dyDescent="0.25">
      <c r="C5" s="3" t="s">
        <v>153</v>
      </c>
      <c r="D5" s="3" t="s">
        <v>154</v>
      </c>
      <c r="E5" s="3" t="s">
        <v>155</v>
      </c>
      <c r="F5" s="3" t="s">
        <v>156</v>
      </c>
      <c r="G5" s="3" t="s">
        <v>157</v>
      </c>
      <c r="H5" s="3" t="s">
        <v>158</v>
      </c>
      <c r="I5" s="3" t="s">
        <v>159</v>
      </c>
    </row>
    <row r="6" spans="1:10" s="2" customFormat="1" ht="18.75" customHeight="1" x14ac:dyDescent="0.25">
      <c r="A6" s="2" t="s">
        <v>160</v>
      </c>
      <c r="B6" s="5" t="str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 xml:space="preserve">iba\app\ps\Config-Maintenance.ps1 </v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47</v>
      </c>
    </row>
    <row r="2" spans="1:4" s="2" customFormat="1" ht="18.75" customHeight="1" x14ac:dyDescent="0.25">
      <c r="A2" s="17" t="s">
        <v>48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161</v>
      </c>
      <c r="B6" s="5" t="str">
        <f>A6&amp;" "&amp;IF(C6="","",$C$4&amp;" '"&amp;C6&amp;"' ")&amp;IF(D6&lt;&gt;"",$D$4&amp;" ","")</f>
        <v xml:space="preserve">iba\app\ps\ContentIndex-Rebuild.ps1 </v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49</v>
      </c>
    </row>
    <row r="2" spans="1:6" s="2" customFormat="1" ht="18.75" customHeight="1" x14ac:dyDescent="0.25">
      <c r="A2" s="17" t="s">
        <v>50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162</v>
      </c>
      <c r="D4" s="4" t="s">
        <v>163</v>
      </c>
      <c r="E4" s="4" t="s">
        <v>8</v>
      </c>
      <c r="F4" s="4" t="s">
        <v>9</v>
      </c>
    </row>
    <row r="5" spans="1:6" s="2" customFormat="1" ht="18.75" customHeight="1" x14ac:dyDescent="0.25">
      <c r="D5" s="3" t="s">
        <v>164</v>
      </c>
    </row>
    <row r="6" spans="1:6" s="2" customFormat="1" ht="18.75" customHeight="1" x14ac:dyDescent="0.25">
      <c r="A6" s="2" t="s">
        <v>165</v>
      </c>
      <c r="B6" s="5" t="str">
        <f>A6&amp;" "&amp;IF(C6="","",$C$4&amp;" '"&amp;C6&amp;"' ")&amp;IF(D6&lt;&gt;"",$D$4&amp;" ","")&amp;IF(E6="","",$E$4&amp;" '"&amp;E6&amp;"' ")&amp;IF(F6&lt;&gt;"",$F$4&amp;" ","")</f>
        <v xml:space="preserve">iba\app\ps\ContentIndex-Search.ps1 </v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51</v>
      </c>
    </row>
    <row r="2" spans="1:4" s="2" customFormat="1" ht="18.75" customHeight="1" x14ac:dyDescent="0.25">
      <c r="A2" s="17" t="s">
        <v>52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166</v>
      </c>
      <c r="B6" s="5" t="str">
        <f>A6&amp;" "&amp;IF(C6="","",$C$4&amp;" '"&amp;C6&amp;"' ")&amp;IF(D6&lt;&gt;"",$D$4&amp;" ","")</f>
        <v xml:space="preserve">iba\app\ps\ContentIndex-SizeProfile.ps1 </v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53</v>
      </c>
    </row>
    <row r="2" spans="1:6" s="2" customFormat="1" ht="18.75" customHeight="1" x14ac:dyDescent="0.25">
      <c r="A2" s="17" t="s">
        <v>54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167</v>
      </c>
      <c r="D4" s="4" t="s">
        <v>168</v>
      </c>
      <c r="E4" s="4" t="s">
        <v>169</v>
      </c>
      <c r="F4" s="4" t="s">
        <v>170</v>
      </c>
    </row>
    <row r="5" spans="1:6" s="2" customFormat="1" ht="18.75" customHeight="1" x14ac:dyDescent="0.25">
      <c r="C5" s="3" t="s">
        <v>171</v>
      </c>
      <c r="D5" s="3" t="s">
        <v>172</v>
      </c>
      <c r="E5" s="3" t="s">
        <v>173</v>
      </c>
    </row>
    <row r="6" spans="1:6" s="2" customFormat="1" ht="18.75" customHeight="1" x14ac:dyDescent="0.25">
      <c r="A6" s="2" t="s">
        <v>174</v>
      </c>
      <c r="B6" s="5" t="str">
        <f>A6&amp;" "&amp;IF(C6="","",$C$4&amp;" '"&amp;C6&amp;"' ")&amp;IF(D6="","",$D$4&amp;" '"&amp;D6&amp;"' ")&amp;IF(E6&lt;&gt;"",$E$4&amp;" ","")&amp;IF(F6&lt;&gt;"",$F$4&amp;" ","")</f>
        <v xml:space="preserve">iba\app\ps\create-iba-view-template.ps1 </v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G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7" width="22" bestFit="1" customWidth="1"/>
  </cols>
  <sheetData>
    <row r="1" spans="1:7" ht="18.75" customHeight="1" x14ac:dyDescent="0.3">
      <c r="A1" s="1" t="s">
        <v>55</v>
      </c>
    </row>
    <row r="2" spans="1:7" s="2" customFormat="1" ht="18.75" customHeight="1" x14ac:dyDescent="0.25">
      <c r="A2" s="17" t="s">
        <v>56</v>
      </c>
      <c r="B2" s="18"/>
      <c r="C2" s="18"/>
      <c r="D2" s="18"/>
      <c r="E2" s="18"/>
      <c r="F2" s="18"/>
      <c r="G2" s="18"/>
    </row>
    <row r="3" spans="1:7" ht="18.75" customHeight="1" x14ac:dyDescent="0.25"/>
    <row r="4" spans="1:7" ht="18.75" customHeight="1" x14ac:dyDescent="0.25">
      <c r="A4" s="4" t="s">
        <v>2</v>
      </c>
      <c r="B4" s="4" t="s">
        <v>3</v>
      </c>
      <c r="C4" s="4" t="s">
        <v>167</v>
      </c>
      <c r="D4" s="4" t="s">
        <v>168</v>
      </c>
      <c r="E4" s="4" t="s">
        <v>175</v>
      </c>
      <c r="F4" s="4" t="s">
        <v>176</v>
      </c>
      <c r="G4" s="4" t="s">
        <v>177</v>
      </c>
    </row>
    <row r="5" spans="1:7" s="2" customFormat="1" ht="18.75" customHeight="1" x14ac:dyDescent="0.25">
      <c r="C5" s="3" t="s">
        <v>171</v>
      </c>
      <c r="D5" s="3" t="s">
        <v>178</v>
      </c>
      <c r="E5" s="3" t="s">
        <v>179</v>
      </c>
      <c r="F5" s="3" t="s">
        <v>180</v>
      </c>
    </row>
    <row r="6" spans="1:7" s="2" customFormat="1" ht="18.75" customHeight="1" x14ac:dyDescent="0.25">
      <c r="A6" s="2" t="s">
        <v>181</v>
      </c>
      <c r="B6" s="5" t="str">
        <f>A6&amp;" "&amp;IF(C6="","",$C$4&amp;" '"&amp;C6&amp;"' ")&amp;IF(D6="","",$D$4&amp;" '"&amp;D6&amp;"' ")&amp;IF(E6="","",$E$4&amp;" '"&amp;E6&amp;"' ")&amp;IF(F6="","",$F$4&amp;" '"&amp;F6&amp;"' ")&amp;IF(G6&lt;&gt;"",$G$4&amp;" ","")</f>
        <v xml:space="preserve">iba\app\ps\create-passage-view-and-export.ps1 </v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8" width="22" bestFit="1" customWidth="1"/>
  </cols>
  <sheetData>
    <row r="1" spans="1:8" ht="18.75" customHeight="1" x14ac:dyDescent="0.3">
      <c r="A1" s="1" t="s">
        <v>57</v>
      </c>
    </row>
    <row r="2" spans="1:8" s="2" customFormat="1" ht="18.75" customHeight="1" x14ac:dyDescent="0.25">
      <c r="A2" s="17" t="s">
        <v>58</v>
      </c>
      <c r="B2" s="18"/>
      <c r="C2" s="18"/>
      <c r="D2" s="18"/>
      <c r="E2" s="18"/>
      <c r="F2" s="18"/>
      <c r="G2" s="18"/>
      <c r="H2" s="18"/>
    </row>
    <row r="3" spans="1:8" ht="18.75" customHeight="1" x14ac:dyDescent="0.25"/>
    <row r="4" spans="1:8" ht="18.75" customHeight="1" x14ac:dyDescent="0.25">
      <c r="A4" s="4" t="s">
        <v>2</v>
      </c>
      <c r="B4" s="4" t="s">
        <v>3</v>
      </c>
      <c r="C4" s="4" t="s">
        <v>167</v>
      </c>
      <c r="D4" s="4" t="s">
        <v>168</v>
      </c>
      <c r="E4" s="4" t="s">
        <v>4</v>
      </c>
      <c r="F4" s="4" t="s">
        <v>175</v>
      </c>
      <c r="G4" s="4" t="s">
        <v>176</v>
      </c>
      <c r="H4" s="4" t="s">
        <v>177</v>
      </c>
    </row>
    <row r="5" spans="1:8" s="2" customFormat="1" ht="18.75" customHeight="1" x14ac:dyDescent="0.25">
      <c r="C5" s="3" t="s">
        <v>171</v>
      </c>
      <c r="D5" s="3" t="s">
        <v>182</v>
      </c>
      <c r="E5" s="3" t="s">
        <v>183</v>
      </c>
      <c r="F5" s="3" t="s">
        <v>184</v>
      </c>
    </row>
    <row r="6" spans="1:8" s="2" customFormat="1" ht="18.75" customHeight="1" x14ac:dyDescent="0.25">
      <c r="A6" s="2" t="s">
        <v>185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 xml:space="preserve">iba\app\ps\create-passages-by-book-view-and-export.ps1 </v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I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9" width="22" bestFit="1" customWidth="1"/>
  </cols>
  <sheetData>
    <row r="1" spans="1:9" ht="18.75" customHeight="1" x14ac:dyDescent="0.3">
      <c r="A1" s="1" t="s">
        <v>59</v>
      </c>
    </row>
    <row r="2" spans="1:9" s="2" customFormat="1" ht="18.75" customHeight="1" x14ac:dyDescent="0.25">
      <c r="A2" s="17" t="s">
        <v>60</v>
      </c>
      <c r="B2" s="18"/>
      <c r="C2" s="18"/>
      <c r="D2" s="18"/>
      <c r="E2" s="18"/>
      <c r="F2" s="18"/>
      <c r="G2" s="18"/>
      <c r="H2" s="18"/>
      <c r="I2" s="18"/>
    </row>
    <row r="3" spans="1:9" ht="18.75" customHeight="1" x14ac:dyDescent="0.25"/>
    <row r="4" spans="1:9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10</v>
      </c>
      <c r="H4" s="4" t="s">
        <v>8</v>
      </c>
      <c r="I4" s="4" t="s">
        <v>9</v>
      </c>
    </row>
    <row r="5" spans="1:9" s="2" customFormat="1" ht="18.75" customHeight="1" x14ac:dyDescent="0.25">
      <c r="G5" s="3" t="s">
        <v>186</v>
      </c>
      <c r="H5" s="3" t="s">
        <v>187</v>
      </c>
    </row>
    <row r="6" spans="1:9" s="2" customFormat="1" ht="18.75" customHeight="1" x14ac:dyDescent="0.25">
      <c r="A6" s="2" t="s">
        <v>188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 xml:space="preserve">iba\app\ps\Debate-Run.ps1 </v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F2"/>
  <sheetViews>
    <sheetView workbookViewId="0"/>
  </sheetViews>
  <sheetFormatPr defaultRowHeight="15" x14ac:dyDescent="0.25"/>
  <cols>
    <col min="1" max="1" width="34" style="2" bestFit="1" customWidth="1"/>
    <col min="2" max="6" width="13.5703125" bestFit="1" customWidth="1"/>
  </cols>
  <sheetData>
    <row r="1" spans="1:6" ht="18.75" customHeight="1" x14ac:dyDescent="0.3">
      <c r="A1" s="7" t="s">
        <v>61</v>
      </c>
    </row>
    <row r="2" spans="1:6" s="2" customFormat="1" ht="18.75" customHeight="1" x14ac:dyDescent="0.25">
      <c r="A2" s="19" t="s">
        <v>189</v>
      </c>
      <c r="B2" s="18"/>
      <c r="C2" s="18"/>
      <c r="D2" s="18"/>
      <c r="E2" s="18"/>
      <c r="F2" s="18"/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63</v>
      </c>
    </row>
    <row r="2" spans="1:6" s="2" customFormat="1" ht="18.75" customHeight="1" x14ac:dyDescent="0.25">
      <c r="A2" s="17" t="s">
        <v>64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167</v>
      </c>
      <c r="D4" s="4" t="s">
        <v>175</v>
      </c>
      <c r="E4" s="4" t="s">
        <v>190</v>
      </c>
      <c r="F4" s="4" t="s">
        <v>191</v>
      </c>
    </row>
    <row r="5" spans="1:6" s="2" customFormat="1" ht="18.75" customHeight="1" x14ac:dyDescent="0.25">
      <c r="C5" s="3" t="s">
        <v>171</v>
      </c>
      <c r="D5" s="3" t="s">
        <v>179</v>
      </c>
      <c r="E5" s="3" t="s">
        <v>192</v>
      </c>
      <c r="F5" s="3" t="s">
        <v>193</v>
      </c>
    </row>
    <row r="6" spans="1:6" s="2" customFormat="1" ht="18.75" customHeight="1" x14ac:dyDescent="0.25">
      <c r="A6" s="2" t="s">
        <v>194</v>
      </c>
      <c r="B6" s="5" t="str">
        <f>A6&amp;" "&amp;IF(C6="","",$C$4&amp;" '"&amp;C6&amp;"' ")&amp;IF(D6="","",$D$4&amp;" '"&amp;D6&amp;"' ")&amp;IF(E6="","",$E$4&amp;" '"&amp;E6&amp;"' ")&amp;IF(F6="","",$F$4&amp;" '"&amp;F6&amp;"' ")</f>
        <v xml:space="preserve">iba\app\ps\export-iba-config-tables.ps1 </v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G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  <col min="7" max="7" width="13.5703125" bestFit="1" customWidth="1"/>
  </cols>
  <sheetData>
    <row r="1" spans="1:7" ht="18.75" customHeight="1" x14ac:dyDescent="0.3">
      <c r="A1" s="1" t="s">
        <v>65</v>
      </c>
    </row>
    <row r="2" spans="1:7" s="2" customFormat="1" ht="18.75" customHeight="1" x14ac:dyDescent="0.25">
      <c r="A2" s="17" t="s">
        <v>66</v>
      </c>
      <c r="B2" s="18"/>
      <c r="C2" s="18"/>
      <c r="D2" s="18"/>
      <c r="E2" s="18"/>
      <c r="F2" s="18"/>
    </row>
    <row r="3" spans="1:7" ht="18.75" customHeight="1" x14ac:dyDescent="0.25"/>
    <row r="4" spans="1:7" ht="18.75" customHeight="1" x14ac:dyDescent="0.25">
      <c r="A4" s="4" t="s">
        <v>2</v>
      </c>
      <c r="B4" s="4" t="s">
        <v>3</v>
      </c>
      <c r="C4" s="4" t="s">
        <v>195</v>
      </c>
      <c r="D4" s="4" t="s">
        <v>149</v>
      </c>
      <c r="E4" s="4" t="s">
        <v>8</v>
      </c>
      <c r="F4" s="4" t="s">
        <v>9</v>
      </c>
      <c r="G4" t="s">
        <v>196</v>
      </c>
    </row>
    <row r="5" spans="1:7" s="2" customFormat="1" ht="18.75" customHeight="1" x14ac:dyDescent="0.25">
      <c r="C5" s="3" t="s">
        <v>197</v>
      </c>
      <c r="D5" s="3" t="s">
        <v>198</v>
      </c>
      <c r="G5" s="2" t="s">
        <v>199</v>
      </c>
    </row>
    <row r="6" spans="1:7" s="2" customFormat="1" ht="18.75" customHeight="1" x14ac:dyDescent="0.25">
      <c r="A6" s="2" t="s">
        <v>200</v>
      </c>
      <c r="B6" s="5" t="str">
        <f>A6&amp;" "&amp;IF(C6="","",$C$4&amp;" '"&amp;C6&amp;"' ")&amp;IF(D6="","",$D$4&amp;" '"&amp;D6&amp;"' ")&amp;IF(G6="","",$G$4&amp;" "&amp;G6&amp;" ")&amp;IF(E6="","",$E$4&amp;" '"&amp;E6&amp;"' ")&amp;IF(F6&lt;&gt;"",$F$4&amp;" ","")</f>
        <v xml:space="preserve">iba\app\ps\Export-Tables.ps1 </v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/>
  </sheetPr>
  <dimension ref="A1:J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10" width="22" bestFit="1" customWidth="1"/>
  </cols>
  <sheetData>
    <row r="1" spans="1:10" ht="18.75" customHeight="1" x14ac:dyDescent="0.3">
      <c r="A1" s="1" t="s">
        <v>67</v>
      </c>
    </row>
    <row r="2" spans="1:10" s="2" customFormat="1" ht="18.75" customHeight="1" x14ac:dyDescent="0.25">
      <c r="A2" s="17" t="s">
        <v>68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18.75" customHeight="1" x14ac:dyDescent="0.25"/>
    <row r="4" spans="1:10" ht="18.75" customHeight="1" x14ac:dyDescent="0.25">
      <c r="A4" s="4" t="s">
        <v>2</v>
      </c>
      <c r="B4" s="4" t="s">
        <v>3</v>
      </c>
      <c r="C4" s="4" t="s">
        <v>120</v>
      </c>
      <c r="D4" s="4" t="s">
        <v>201</v>
      </c>
      <c r="E4" s="4" t="s">
        <v>202</v>
      </c>
      <c r="F4" s="4" t="s">
        <v>203</v>
      </c>
      <c r="G4" s="4" t="s">
        <v>204</v>
      </c>
      <c r="H4" s="4" t="s">
        <v>205</v>
      </c>
      <c r="I4" s="4" t="s">
        <v>8</v>
      </c>
      <c r="J4" s="4" t="s">
        <v>9</v>
      </c>
    </row>
    <row r="5" spans="1:10" s="2" customFormat="1" ht="18.75" customHeight="1" x14ac:dyDescent="0.25">
      <c r="C5" s="3" t="s">
        <v>206</v>
      </c>
      <c r="D5" s="3" t="s">
        <v>207</v>
      </c>
      <c r="E5" s="3" t="s">
        <v>208</v>
      </c>
      <c r="F5" s="3" t="s">
        <v>209</v>
      </c>
    </row>
    <row r="6" spans="1:10" s="2" customFormat="1" ht="18.75" customHeight="1" x14ac:dyDescent="0.25">
      <c r="A6" s="2" t="s">
        <v>210</v>
      </c>
      <c r="B6" s="5" t="str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 xml:space="preserve">iba\app\ps\FolderPurpose.ps1 </v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69</v>
      </c>
    </row>
    <row r="2" spans="1:5" s="2" customFormat="1" ht="18.75" customHeight="1" x14ac:dyDescent="0.25">
      <c r="A2" s="17" t="s">
        <v>70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167</v>
      </c>
      <c r="D4" s="4" t="s">
        <v>175</v>
      </c>
      <c r="E4" s="4" t="s">
        <v>211</v>
      </c>
    </row>
    <row r="5" spans="1:5" s="2" customFormat="1" ht="18.75" customHeight="1" x14ac:dyDescent="0.25">
      <c r="C5" s="3" t="s">
        <v>171</v>
      </c>
      <c r="D5" s="3" t="s">
        <v>212</v>
      </c>
      <c r="E5" s="3" t="s">
        <v>213</v>
      </c>
    </row>
    <row r="6" spans="1:5" s="2" customFormat="1" ht="18.75" customHeight="1" x14ac:dyDescent="0.25">
      <c r="A6" s="2" t="s">
        <v>214</v>
      </c>
      <c r="B6" s="5" t="str">
        <f>A6&amp;" "&amp;IF(C6="","",$C$4&amp;" '"&amp;C6&amp;"' ")&amp;IF(D6="","",$D$4&amp;" '"&amp;D6&amp;"' ")&amp;IF(E6="","",$E$4&amp;" '"&amp;E6&amp;"' ")</f>
        <v xml:space="preserve">iba\app\ps\generate-iba-db-schema-report.ps1 </v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71</v>
      </c>
    </row>
    <row r="2" spans="1:5" s="2" customFormat="1" ht="18.75" customHeight="1" x14ac:dyDescent="0.25">
      <c r="A2" s="17" t="s">
        <v>72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10</v>
      </c>
      <c r="D4" s="4" t="s">
        <v>8</v>
      </c>
      <c r="E4" s="4" t="s">
        <v>9</v>
      </c>
    </row>
    <row r="5" spans="1:5" s="2" customFormat="1" ht="18.75" customHeight="1" x14ac:dyDescent="0.25">
      <c r="C5" s="3" t="s">
        <v>215</v>
      </c>
    </row>
    <row r="6" spans="1:5" s="2" customFormat="1" ht="18.75" customHeight="1" x14ac:dyDescent="0.25">
      <c r="A6" s="2" t="s">
        <v>216</v>
      </c>
      <c r="B6" s="5" t="str">
        <f>A6&amp;" "&amp;IF(C6="","",$C$4&amp;" "&amp;C6&amp;" ")&amp;IF(D6="","",$D$4&amp;" '"&amp;D6&amp;"' ")&amp;IF(E6&lt;&gt;"",$E$4&amp;" ","")</f>
        <v xml:space="preserve">iba\app\ps\Lexicon-Parse.ps1 </v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73</v>
      </c>
    </row>
    <row r="2" spans="1:4" s="2" customFormat="1" ht="18.75" customHeight="1" x14ac:dyDescent="0.25">
      <c r="A2" s="17" t="s">
        <v>74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217</v>
      </c>
      <c r="B6" s="5" t="str">
        <f>A6&amp;" "&amp;IF(C6="","",$C$4&amp;" '"&amp;C6&amp;"' ")&amp;IF(D6&lt;&gt;"",$D$4&amp;" ","")</f>
        <v xml:space="preserve">iba\app\ps\Log-Retention.ps1 </v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75</v>
      </c>
    </row>
    <row r="2" spans="1:4" s="2" customFormat="1" ht="18.75" customHeight="1" x14ac:dyDescent="0.25">
      <c r="A2" s="17" t="s">
        <v>76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218</v>
      </c>
      <c r="B6" s="5" t="str">
        <f>A6&amp;" "&amp;IF(C6="","",$C$4&amp;" '"&amp;C6&amp;"' ")&amp;IF(D6&lt;&gt;"",$D$4&amp;" ","")</f>
        <v xml:space="preserve">iba\app\ps\Manifest-Rebuild.ps1 </v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77</v>
      </c>
    </row>
    <row r="2" spans="1:5" s="2" customFormat="1" ht="18.75" customHeight="1" x14ac:dyDescent="0.25">
      <c r="A2" s="17" t="s">
        <v>78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162</v>
      </c>
      <c r="D4" s="4" t="s">
        <v>8</v>
      </c>
      <c r="E4" s="4" t="s">
        <v>9</v>
      </c>
    </row>
    <row r="5" spans="1:5" s="2" customFormat="1" ht="18.75" customHeight="1" x14ac:dyDescent="0.25">
      <c r="C5" s="3" t="s">
        <v>219</v>
      </c>
    </row>
    <row r="6" spans="1:5" s="2" customFormat="1" ht="18.75" customHeight="1" x14ac:dyDescent="0.25">
      <c r="A6" s="2" t="s">
        <v>220</v>
      </c>
      <c r="B6" s="5" t="str">
        <f>A6&amp;" "&amp;IF(C6="","",$C$4&amp;" '"&amp;C6&amp;"' ")&amp;IF(D6="","",$D$4&amp;" '"&amp;D6&amp;"' ")&amp;IF(E6&lt;&gt;"",$E$4&amp;" ","")</f>
        <v xml:space="preserve">iba\app\ps\Manifest-Search.ps1 </v>
      </c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79</v>
      </c>
    </row>
    <row r="2" spans="1:6" s="2" customFormat="1" ht="18.75" customHeight="1" x14ac:dyDescent="0.25">
      <c r="A2" s="17" t="s">
        <v>80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221</v>
      </c>
      <c r="D4" s="4" t="s">
        <v>222</v>
      </c>
      <c r="E4" s="4" t="s">
        <v>223</v>
      </c>
      <c r="F4" s="4" t="s">
        <v>9</v>
      </c>
    </row>
    <row r="5" spans="1:6" s="2" customFormat="1" ht="18.75" customHeight="1" x14ac:dyDescent="0.25">
      <c r="C5" s="3" t="s">
        <v>224</v>
      </c>
      <c r="D5" s="3" t="s">
        <v>225</v>
      </c>
      <c r="E5" s="3" t="s">
        <v>226</v>
      </c>
      <c r="F5" s="3" t="s">
        <v>227</v>
      </c>
    </row>
    <row r="6" spans="1:6" s="2" customFormat="1" ht="18.75" customHeight="1" x14ac:dyDescent="0.25">
      <c r="A6" s="2" t="s">
        <v>228</v>
      </c>
      <c r="B6" s="5" t="str">
        <f>A6&amp;" "&amp;IF(C6="","",$C$4&amp;" '"&amp;C6&amp;"' ")&amp;IF(D6="","",$D$4&amp;" '"&amp;D6&amp;"' ")&amp;IF(E6&lt;&gt;"",$E$4&amp;" ","")&amp;IF(F6&lt;&gt;"",$F$4&amp;" ","")</f>
        <v xml:space="preserve">iba\app\ps\New-Word.ps1 </v>
      </c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/>
  </sheetPr>
  <dimension ref="A1:I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9" width="22" bestFit="1" customWidth="1"/>
  </cols>
  <sheetData>
    <row r="1" spans="1:9" ht="18.75" customHeight="1" x14ac:dyDescent="0.3">
      <c r="A1" s="1" t="s">
        <v>81</v>
      </c>
    </row>
    <row r="2" spans="1:9" s="2" customFormat="1" ht="18.75" customHeight="1" x14ac:dyDescent="0.25">
      <c r="A2" s="17" t="s">
        <v>82</v>
      </c>
      <c r="B2" s="18"/>
      <c r="C2" s="18"/>
      <c r="D2" s="18"/>
      <c r="E2" s="18"/>
      <c r="F2" s="18"/>
      <c r="G2" s="18"/>
      <c r="H2" s="18"/>
      <c r="I2" s="18"/>
    </row>
    <row r="3" spans="1:9" ht="18.75" customHeight="1" x14ac:dyDescent="0.25"/>
    <row r="4" spans="1:9" ht="18.75" customHeight="1" x14ac:dyDescent="0.25">
      <c r="A4" s="4" t="s">
        <v>2</v>
      </c>
      <c r="B4" s="4" t="s">
        <v>3</v>
      </c>
      <c r="C4" s="4" t="s">
        <v>10</v>
      </c>
      <c r="D4" s="4" t="s">
        <v>4</v>
      </c>
      <c r="E4" s="4" t="s">
        <v>5</v>
      </c>
      <c r="F4" s="4" t="s">
        <v>6</v>
      </c>
      <c r="G4" s="4" t="s">
        <v>130</v>
      </c>
      <c r="H4" s="4" t="s">
        <v>8</v>
      </c>
      <c r="I4" s="4" t="s">
        <v>9</v>
      </c>
    </row>
    <row r="5" spans="1:9" s="2" customFormat="1" ht="18.75" customHeight="1" x14ac:dyDescent="0.25">
      <c r="C5" s="3" t="s">
        <v>229</v>
      </c>
      <c r="G5" s="3" t="s">
        <v>131</v>
      </c>
    </row>
    <row r="6" spans="1:9" s="2" customFormat="1" ht="18.75" customHeight="1" x14ac:dyDescent="0.25">
      <c r="A6" s="2" t="s">
        <v>230</v>
      </c>
      <c r="B6" s="5" t="str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 xml:space="preserve">iba\app\ps\Operations-Ingest.ps1 </v>
      </c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83</v>
      </c>
    </row>
    <row r="2" spans="1:5" s="2" customFormat="1" ht="18.75" customHeight="1" x14ac:dyDescent="0.25">
      <c r="A2" s="17" t="s">
        <v>84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4</v>
      </c>
      <c r="D4" s="4" t="s">
        <v>8</v>
      </c>
      <c r="E4" s="4" t="s">
        <v>9</v>
      </c>
    </row>
    <row r="5" spans="1:5" s="2" customFormat="1" ht="18.75" customHeight="1" x14ac:dyDescent="0.25">
      <c r="C5" s="3" t="s">
        <v>231</v>
      </c>
    </row>
    <row r="6" spans="1:5" s="2" customFormat="1" ht="18.75" customHeight="1" x14ac:dyDescent="0.25">
      <c r="A6" s="2" t="s">
        <v>232</v>
      </c>
      <c r="B6" s="5" t="str">
        <f>A6&amp;" "&amp;IF(C6="","",$C$4&amp;" '"&amp;C6&amp;"' ")&amp;IF(D6="","",$D$4&amp;" '"&amp;D6&amp;"' ")&amp;IF(E6&lt;&gt;"",$E$4&amp;" ","")</f>
        <v xml:space="preserve">iba\app\ps\Passage-Quality.ps1 </v>
      </c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8" width="22" bestFit="1" customWidth="1"/>
  </cols>
  <sheetData>
    <row r="1" spans="1:8" ht="18.75" customHeight="1" x14ac:dyDescent="0.3">
      <c r="A1" s="1" t="s">
        <v>85</v>
      </c>
    </row>
    <row r="2" spans="1:8" s="2" customFormat="1" ht="18.75" customHeight="1" x14ac:dyDescent="0.25">
      <c r="A2" s="17" t="s">
        <v>86</v>
      </c>
      <c r="B2" s="18"/>
      <c r="C2" s="18"/>
      <c r="D2" s="18"/>
      <c r="E2" s="18"/>
      <c r="F2" s="18"/>
      <c r="G2" s="18"/>
      <c r="H2" s="18"/>
    </row>
    <row r="3" spans="1:8" ht="18.75" customHeight="1" x14ac:dyDescent="0.25"/>
    <row r="4" spans="1:8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8.75" customHeight="1" x14ac:dyDescent="0.25"/>
    <row r="6" spans="1:8" s="2" customFormat="1" ht="18.75" customHeight="1" x14ac:dyDescent="0.25">
      <c r="A6" s="2" t="s">
        <v>233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 xml:space="preserve">iba\app\ps\PassageDebate-Report.ps1 </v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8" width="22" bestFit="1" customWidth="1"/>
  </cols>
  <sheetData>
    <row r="1" spans="1:8" ht="18.75" customHeight="1" x14ac:dyDescent="0.3">
      <c r="A1" s="1" t="s">
        <v>87</v>
      </c>
    </row>
    <row r="2" spans="1:8" s="2" customFormat="1" ht="18.75" customHeight="1" x14ac:dyDescent="0.25">
      <c r="A2" s="17" t="s">
        <v>88</v>
      </c>
      <c r="B2" s="18"/>
      <c r="C2" s="18"/>
      <c r="D2" s="18"/>
      <c r="E2" s="18"/>
      <c r="F2" s="18"/>
      <c r="G2" s="18"/>
      <c r="H2" s="18"/>
    </row>
    <row r="3" spans="1:8" ht="18.75" customHeight="1" x14ac:dyDescent="0.25"/>
    <row r="4" spans="1:8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8.75" customHeight="1" x14ac:dyDescent="0.25"/>
    <row r="6" spans="1:8" s="2" customFormat="1" ht="18.75" customHeight="1" x14ac:dyDescent="0.25">
      <c r="A6" s="2" t="s">
        <v>234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 xml:space="preserve">iba\app\ps\PassageDebate-Sync.ps1 </v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89</v>
      </c>
    </row>
    <row r="2" spans="1:5" s="2" customFormat="1" ht="18.75" customHeight="1" x14ac:dyDescent="0.25">
      <c r="A2" s="17" t="s">
        <v>90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120</v>
      </c>
      <c r="D4" s="4" t="s">
        <v>8</v>
      </c>
      <c r="E4" s="4" t="s">
        <v>9</v>
      </c>
    </row>
    <row r="5" spans="1:5" s="2" customFormat="1" ht="18.75" customHeight="1" x14ac:dyDescent="0.25">
      <c r="C5" s="3" t="s">
        <v>235</v>
      </c>
    </row>
    <row r="6" spans="1:5" s="2" customFormat="1" ht="18.75" customHeight="1" x14ac:dyDescent="0.25">
      <c r="A6" s="2" t="s">
        <v>236</v>
      </c>
      <c r="B6" s="5" t="str">
        <f>A6&amp;" "&amp;IF(C6="","",$C$4&amp;" "&amp;C6&amp;" ")&amp;IF(D6="","",$D$4&amp;" '"&amp;D6&amp;"' ")&amp;IF(E6&lt;&gt;"",$E$4&amp;" ","")</f>
        <v xml:space="preserve">iba\app\ps\PathAudit.ps1 </v>
      </c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/>
  </sheetPr>
  <dimension ref="A1:W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23" width="22" bestFit="1" customWidth="1"/>
  </cols>
  <sheetData>
    <row r="1" spans="1:23" ht="18.75" customHeight="1" x14ac:dyDescent="0.3">
      <c r="A1" s="1" t="s">
        <v>91</v>
      </c>
    </row>
    <row r="2" spans="1:23" s="2" customFormat="1" ht="18.75" customHeight="1" x14ac:dyDescent="0.25">
      <c r="A2" s="17" t="s">
        <v>92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</row>
    <row r="3" spans="1:23" ht="18.75" customHeight="1" x14ac:dyDescent="0.25"/>
    <row r="4" spans="1:23" ht="18.75" customHeight="1" x14ac:dyDescent="0.25">
      <c r="A4" s="4" t="s">
        <v>2</v>
      </c>
      <c r="B4" s="4" t="s">
        <v>3</v>
      </c>
      <c r="C4" s="4" t="s">
        <v>10</v>
      </c>
      <c r="D4" s="4" t="s">
        <v>4</v>
      </c>
      <c r="E4" s="4" t="s">
        <v>237</v>
      </c>
      <c r="F4" s="4" t="s">
        <v>238</v>
      </c>
      <c r="G4" s="4" t="s">
        <v>239</v>
      </c>
      <c r="H4" s="4" t="s">
        <v>240</v>
      </c>
      <c r="I4" s="4" t="s">
        <v>241</v>
      </c>
      <c r="J4" s="4" t="s">
        <v>162</v>
      </c>
      <c r="K4" s="4" t="s">
        <v>242</v>
      </c>
      <c r="L4" s="4" t="s">
        <v>243</v>
      </c>
      <c r="M4" s="4" t="s">
        <v>138</v>
      </c>
      <c r="N4" s="4" t="s">
        <v>244</v>
      </c>
      <c r="O4" s="4" t="s">
        <v>245</v>
      </c>
      <c r="P4" s="4" t="s">
        <v>246</v>
      </c>
      <c r="Q4" s="4" t="s">
        <v>247</v>
      </c>
      <c r="R4" s="4" t="s">
        <v>248</v>
      </c>
      <c r="S4" s="4" t="s">
        <v>249</v>
      </c>
      <c r="T4" s="4" t="s">
        <v>250</v>
      </c>
      <c r="U4" s="4" t="s">
        <v>203</v>
      </c>
      <c r="V4" s="4" t="s">
        <v>195</v>
      </c>
      <c r="W4" s="4" t="s">
        <v>9</v>
      </c>
    </row>
    <row r="5" spans="1:23" s="2" customFormat="1" ht="18.75" customHeight="1" x14ac:dyDescent="0.25">
      <c r="C5" s="3" t="s">
        <v>251</v>
      </c>
      <c r="D5" s="3" t="s">
        <v>252</v>
      </c>
      <c r="F5" s="3" t="s">
        <v>253</v>
      </c>
      <c r="J5" s="3" t="s">
        <v>254</v>
      </c>
      <c r="K5" s="3" t="s">
        <v>254</v>
      </c>
      <c r="L5" s="3" t="s">
        <v>255</v>
      </c>
      <c r="M5" s="3" t="s">
        <v>256</v>
      </c>
      <c r="Q5" s="3" t="s">
        <v>257</v>
      </c>
      <c r="R5" s="3" t="s">
        <v>257</v>
      </c>
      <c r="S5" s="3" t="s">
        <v>258</v>
      </c>
      <c r="T5" s="3" t="s">
        <v>259</v>
      </c>
      <c r="U5" s="3" t="s">
        <v>260</v>
      </c>
      <c r="V5" s="3" t="s">
        <v>261</v>
      </c>
    </row>
    <row r="6" spans="1:23" s="2" customFormat="1" ht="18.75" customHeight="1" x14ac:dyDescent="0.25">
      <c r="A6" s="2" t="s">
        <v>262</v>
      </c>
      <c r="B6" s="5" t="str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 xml:space="preserve">iba\app\ps\Prose.ps1 </v>
      </c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93</v>
      </c>
    </row>
    <row r="2" spans="1:6" s="2" customFormat="1" ht="18.75" customHeight="1" x14ac:dyDescent="0.25">
      <c r="A2" s="17" t="s">
        <v>94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4</v>
      </c>
      <c r="D4" s="4" t="s">
        <v>6</v>
      </c>
      <c r="E4" s="4" t="s">
        <v>8</v>
      </c>
      <c r="F4" s="4" t="s">
        <v>9</v>
      </c>
    </row>
    <row r="5" spans="1:6" s="2" customFormat="1" ht="18.75" customHeight="1" x14ac:dyDescent="0.25">
      <c r="D5" s="3" t="s">
        <v>263</v>
      </c>
    </row>
    <row r="6" spans="1:6" s="2" customFormat="1" ht="18.75" customHeight="1" x14ac:dyDescent="0.25">
      <c r="A6" s="2" t="s">
        <v>264</v>
      </c>
      <c r="B6" s="5" t="str">
        <f>A6&amp;" "&amp;IF(C6="","",$C$4&amp;" '"&amp;C6&amp;"' ")&amp;IF(D6="","",$D$4&amp;" '"&amp;D6&amp;"' ")&amp;IF(E6="","",$E$4&amp;" '"&amp;E6&amp;"' ")&amp;IF(F6&lt;&gt;"",$F$4&amp;" ","")</f>
        <v xml:space="preserve">iba\app\ps\Raw-Backfill.ps1 </v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95</v>
      </c>
    </row>
    <row r="2" spans="1:4" s="2" customFormat="1" ht="18.75" customHeight="1" x14ac:dyDescent="0.25">
      <c r="A2" s="17" t="s">
        <v>96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265</v>
      </c>
      <c r="B6" s="5" t="str">
        <f>A6&amp;" "&amp;IF(C6="","",$C$4&amp;" '"&amp;C6&amp;"' ")&amp;IF(D6&lt;&gt;"",$D$4&amp;" ","")</f>
        <v xml:space="preserve">iba\app\ps\Registry-Report.ps1 </v>
      </c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97</v>
      </c>
    </row>
    <row r="2" spans="1:6" s="2" customFormat="1" ht="18.75" customHeight="1" x14ac:dyDescent="0.25">
      <c r="A2" s="17" t="s">
        <v>98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10</v>
      </c>
      <c r="D4" s="4" t="s">
        <v>221</v>
      </c>
      <c r="E4" s="4" t="s">
        <v>4</v>
      </c>
      <c r="F4" s="4" t="s">
        <v>9</v>
      </c>
    </row>
    <row r="5" spans="1:6" s="2" customFormat="1" ht="18.75" customHeight="1" x14ac:dyDescent="0.25">
      <c r="C5" s="3" t="s">
        <v>266</v>
      </c>
    </row>
    <row r="6" spans="1:6" s="2" customFormat="1" ht="18.75" customHeight="1" x14ac:dyDescent="0.25">
      <c r="A6" s="2" t="s">
        <v>267</v>
      </c>
      <c r="B6" s="5" t="str">
        <f>A6&amp;" "&amp;IF(C6="","",$C$4&amp;" "&amp;C6&amp;" ")&amp;IF(D6="","",$D$4&amp;" '"&amp;D6&amp;"' ")&amp;IF(E6="","",$E$4&amp;" '"&amp;E6&amp;"' ")&amp;IF(F6&lt;&gt;"",$F$4&amp;" ","")</f>
        <v xml:space="preserve">iba\app\ps\Reports.ps1 </v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99</v>
      </c>
    </row>
    <row r="2" spans="1:4" s="2" customFormat="1" ht="18.75" customHeight="1" x14ac:dyDescent="0.25">
      <c r="A2" s="17" t="s">
        <v>100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66.75" customHeight="1" x14ac:dyDescent="0.25">
      <c r="A6" s="2" t="s">
        <v>268</v>
      </c>
      <c r="B6" s="5" t="str">
        <f>A6&amp;" "&amp;IF(C6="","",$C$4&amp;" '"&amp;C6&amp;"' ")&amp;IF(D6&lt;&gt;"",$D$4&amp;" ","")</f>
        <v xml:space="preserve">iba\app\ps\SchemaOverview-Report.ps1 </v>
      </c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101</v>
      </c>
    </row>
    <row r="2" spans="1:4" s="2" customFormat="1" ht="18.75" customHeight="1" x14ac:dyDescent="0.25">
      <c r="A2" s="17" t="s">
        <v>102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269</v>
      </c>
      <c r="B6" s="5" t="str">
        <f>A6&amp;" "&amp;IF(C6="","",$C$4&amp;" '"&amp;C6&amp;"' ")&amp;IF(D6&lt;&gt;"",$D$4&amp;" ","")</f>
        <v xml:space="preserve">iba\app\ps\SeedCandidate-Report.ps1 </v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103</v>
      </c>
    </row>
    <row r="2" spans="1:4" s="2" customFormat="1" ht="18.75" customHeight="1" x14ac:dyDescent="0.25">
      <c r="A2" s="17" t="s">
        <v>104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4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270</v>
      </c>
      <c r="B6" s="5" t="str">
        <f>A6&amp;" "&amp;IF(C6="","",$C$4&amp;" '"&amp;C6&amp;"' ")&amp;IF(D6&lt;&gt;"",$D$4&amp;" ","")</f>
        <v xml:space="preserve">iba\app\ps\Set-Candidates.ps1 </v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105</v>
      </c>
    </row>
    <row r="2" spans="1:4" s="2" customFormat="1" ht="18.75" customHeight="1" x14ac:dyDescent="0.25">
      <c r="A2" s="17" t="s">
        <v>106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271</v>
      </c>
      <c r="B6" s="5" t="str">
        <f>A6&amp;" "&amp;IF(C6="","",$C$4&amp;" '"&amp;C6&amp;"' ")&amp;IF(D6&lt;&gt;"",$D$4&amp;" ","")</f>
        <v xml:space="preserve">iba\app\ps\SpanAnalysis-Report.ps1 </v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107</v>
      </c>
    </row>
    <row r="2" spans="1:4" s="2" customFormat="1" ht="18.75" customHeight="1" x14ac:dyDescent="0.25">
      <c r="A2" s="17" t="s">
        <v>108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272</v>
      </c>
      <c r="D4" s="4" t="s">
        <v>273</v>
      </c>
    </row>
    <row r="5" spans="1:4" s="2" customFormat="1" ht="18.75" customHeight="1" x14ac:dyDescent="0.25">
      <c r="C5" s="3" t="s">
        <v>274</v>
      </c>
      <c r="D5" s="3" t="s">
        <v>275</v>
      </c>
    </row>
    <row r="6" spans="1:4" s="2" customFormat="1" ht="18.75" customHeight="1" x14ac:dyDescent="0.25">
      <c r="A6" s="2" t="s">
        <v>276</v>
      </c>
      <c r="B6" s="5" t="str">
        <f>A6&amp;" "&amp;IF(C6&lt;&gt;"",$C$4&amp;" ","")&amp;IF(D6&lt;&gt;"",$D$4&amp;" ","")</f>
        <v xml:space="preserve">iba\app\ps\Start-Iba.ps1 </v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/>
  </sheetPr>
  <dimension ref="A1:D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4" width="22" bestFit="1" customWidth="1"/>
  </cols>
  <sheetData>
    <row r="1" spans="1:4" ht="18.75" customHeight="1" x14ac:dyDescent="0.3">
      <c r="A1" s="1" t="s">
        <v>109</v>
      </c>
    </row>
    <row r="2" spans="1:4" s="2" customFormat="1" ht="18.75" customHeight="1" x14ac:dyDescent="0.25">
      <c r="A2" s="17" t="s">
        <v>110</v>
      </c>
      <c r="B2" s="18"/>
      <c r="C2" s="18"/>
      <c r="D2" s="18"/>
    </row>
    <row r="3" spans="1:4" ht="18.75" customHeight="1" x14ac:dyDescent="0.25"/>
    <row r="4" spans="1:4" ht="18.75" customHeight="1" x14ac:dyDescent="0.25">
      <c r="A4" s="4" t="s">
        <v>2</v>
      </c>
      <c r="B4" s="4" t="s">
        <v>3</v>
      </c>
      <c r="C4" s="4" t="s">
        <v>8</v>
      </c>
      <c r="D4" s="4" t="s">
        <v>9</v>
      </c>
    </row>
    <row r="5" spans="1:4" ht="18.75" customHeight="1" x14ac:dyDescent="0.25"/>
    <row r="6" spans="1:4" s="2" customFormat="1" ht="18.75" customHeight="1" x14ac:dyDescent="0.25">
      <c r="A6" s="2" t="s">
        <v>277</v>
      </c>
      <c r="B6" s="5" t="str">
        <f>A6&amp;" "&amp;IF(C6="","",$C$4&amp;" '"&amp;C6&amp;"' ")&amp;IF(D6&lt;&gt;"",$D$4&amp;" ","")</f>
        <v xml:space="preserve">iba\app\ps\StrongMeaning-Report.ps1 </v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111</v>
      </c>
    </row>
    <row r="2" spans="1:6" s="2" customFormat="1" ht="18.75" customHeight="1" x14ac:dyDescent="0.25">
      <c r="A2" s="17" t="s">
        <v>112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221</v>
      </c>
      <c r="D4" s="4" t="s">
        <v>278</v>
      </c>
      <c r="E4" s="4" t="s">
        <v>8</v>
      </c>
      <c r="F4" s="4" t="s">
        <v>9</v>
      </c>
    </row>
    <row r="5" spans="1:6" s="2" customFormat="1" ht="18.75" customHeight="1" x14ac:dyDescent="0.25">
      <c r="D5" s="3" t="s">
        <v>279</v>
      </c>
    </row>
    <row r="6" spans="1:6" s="2" customFormat="1" ht="18.75" customHeight="1" x14ac:dyDescent="0.25">
      <c r="A6" s="2" t="s">
        <v>280</v>
      </c>
      <c r="B6" s="5" t="str">
        <f>A6&amp;" "&amp;IF(C6="","",$C$4&amp;" '"&amp;C6&amp;"' ")&amp;IF(D6="","",$D$4&amp;" '"&amp;D6&amp;"' ")&amp;IF(E6="","",$E$4&amp;" '"&amp;E6&amp;"' ")&amp;IF(F6&lt;&gt;"",$F$4&amp;" ","")</f>
        <v xml:space="preserve">iba\app\ps\StrongVerse-Report.ps1 </v>
      </c>
    </row>
  </sheetData>
  <mergeCells count="1">
    <mergeCell ref="A2:F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/>
  </sheetPr>
  <dimension ref="A1:I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7" width="22" bestFit="1" customWidth="1"/>
    <col min="8" max="8" width="11.42578125" bestFit="1" customWidth="1"/>
    <col min="9" max="9" width="13.5703125" bestFit="1" customWidth="1"/>
  </cols>
  <sheetData>
    <row r="1" spans="1:9" ht="18.75" customHeight="1" x14ac:dyDescent="0.3">
      <c r="A1" s="1" t="s">
        <v>0</v>
      </c>
    </row>
    <row r="2" spans="1:9" s="2" customFormat="1" ht="18.75" customHeight="1" x14ac:dyDescent="0.25">
      <c r="A2" s="17" t="s">
        <v>1</v>
      </c>
      <c r="B2" s="18"/>
      <c r="C2" s="18"/>
      <c r="D2" s="18"/>
      <c r="E2" s="18"/>
      <c r="F2" s="18"/>
      <c r="G2" s="18"/>
      <c r="H2" s="18"/>
    </row>
    <row r="3" spans="1:9" ht="18.75" customHeight="1" x14ac:dyDescent="0.25"/>
    <row r="4" spans="1:9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t="s">
        <v>10</v>
      </c>
    </row>
    <row r="5" spans="1:9" s="2" customFormat="1" ht="51.75" customHeight="1" x14ac:dyDescent="0.25">
      <c r="D5" s="3" t="s">
        <v>11</v>
      </c>
      <c r="E5" s="3" t="s">
        <v>12</v>
      </c>
      <c r="I5" s="2" t="s">
        <v>13</v>
      </c>
    </row>
    <row r="6" spans="1:9" s="2" customFormat="1" ht="32.25" customHeight="1" x14ac:dyDescent="0.25">
      <c r="A6" s="2" t="s">
        <v>14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</f>
        <v xml:space="preserve">iba\app\ps\VerseLexical.ps1 -Book 'Rom' -Range '8:2' </v>
      </c>
      <c r="C6" s="2" t="s">
        <v>15</v>
      </c>
      <c r="D6" s="6"/>
      <c r="E6" s="2" t="s">
        <v>16</v>
      </c>
    </row>
  </sheetData>
  <mergeCells count="1">
    <mergeCell ref="A2:H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/>
  </sheetPr>
  <dimension ref="A1:H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8" width="22" bestFit="1" customWidth="1"/>
  </cols>
  <sheetData>
    <row r="1" spans="1:8" ht="18.75" customHeight="1" x14ac:dyDescent="0.3">
      <c r="A1" s="1" t="s">
        <v>114</v>
      </c>
    </row>
    <row r="2" spans="1:8" s="2" customFormat="1" ht="18.75" customHeight="1" x14ac:dyDescent="0.25">
      <c r="A2" s="17" t="s">
        <v>115</v>
      </c>
      <c r="B2" s="18"/>
      <c r="C2" s="18"/>
      <c r="D2" s="18"/>
      <c r="E2" s="18"/>
      <c r="F2" s="18"/>
      <c r="G2" s="18"/>
      <c r="H2" s="18"/>
    </row>
    <row r="3" spans="1:8" ht="18.75" customHeight="1" x14ac:dyDescent="0.25"/>
    <row r="4" spans="1:8" ht="18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8.75" customHeight="1" x14ac:dyDescent="0.25"/>
    <row r="6" spans="1:8" s="2" customFormat="1" ht="18.75" customHeight="1" x14ac:dyDescent="0.25">
      <c r="A6" s="2" t="s">
        <v>281</v>
      </c>
      <c r="B6" s="5" t="str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 xml:space="preserve">iba\app\ps\VerseSpanMeaning-Report.ps1 </v>
      </c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/>
  </sheetPr>
  <dimension ref="A1:F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6" width="22" bestFit="1" customWidth="1"/>
  </cols>
  <sheetData>
    <row r="1" spans="1:6" ht="18.75" customHeight="1" x14ac:dyDescent="0.3">
      <c r="A1" s="1" t="s">
        <v>116</v>
      </c>
    </row>
    <row r="2" spans="1:6" s="2" customFormat="1" ht="18.75" customHeight="1" x14ac:dyDescent="0.25">
      <c r="A2" s="17" t="s">
        <v>117</v>
      </c>
      <c r="B2" s="18"/>
      <c r="C2" s="18"/>
      <c r="D2" s="18"/>
      <c r="E2" s="18"/>
      <c r="F2" s="18"/>
    </row>
    <row r="3" spans="1:6" ht="18.75" customHeight="1" x14ac:dyDescent="0.25"/>
    <row r="4" spans="1:6" ht="18.75" customHeight="1" x14ac:dyDescent="0.25">
      <c r="A4" s="4" t="s">
        <v>2</v>
      </c>
      <c r="B4" s="4" t="s">
        <v>3</v>
      </c>
      <c r="C4" s="4" t="s">
        <v>4</v>
      </c>
      <c r="D4" s="4" t="s">
        <v>7</v>
      </c>
      <c r="E4" s="4" t="s">
        <v>8</v>
      </c>
      <c r="F4" s="4" t="s">
        <v>9</v>
      </c>
    </row>
    <row r="5" spans="1:6" ht="18.75" customHeight="1" x14ac:dyDescent="0.25"/>
    <row r="6" spans="1:6" s="2" customFormat="1" ht="18.75" customHeight="1" x14ac:dyDescent="0.25">
      <c r="A6" s="2" t="s">
        <v>282</v>
      </c>
      <c r="B6" s="5" t="str">
        <f>A6&amp;" "&amp;IF(C6="","",$C$4&amp;" '"&amp;C6&amp;"' ")&amp;IF(D6="","",$D$4&amp;" '"&amp;D6&amp;"' ")&amp;IF(E6="","",$E$4&amp;" '"&amp;E6&amp;"' ")&amp;IF(F6&lt;&gt;"",$F$4&amp;" ","")</f>
        <v xml:space="preserve">iba\app\ps\WholeBookRead-Report.ps1 </v>
      </c>
    </row>
  </sheetData>
  <mergeCells count="1">
    <mergeCell ref="A2:F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/>
  </sheetPr>
  <dimension ref="A1:E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34" bestFit="1" customWidth="1"/>
    <col min="2" max="2" width="60" bestFit="1" customWidth="1"/>
    <col min="3" max="5" width="22" bestFit="1" customWidth="1"/>
  </cols>
  <sheetData>
    <row r="1" spans="1:5" ht="18.75" customHeight="1" x14ac:dyDescent="0.3">
      <c r="A1" s="1" t="s">
        <v>118</v>
      </c>
    </row>
    <row r="2" spans="1:5" s="2" customFormat="1" ht="18.75" customHeight="1" x14ac:dyDescent="0.25">
      <c r="A2" s="17" t="s">
        <v>119</v>
      </c>
      <c r="B2" s="18"/>
      <c r="C2" s="18"/>
      <c r="D2" s="18"/>
      <c r="E2" s="18"/>
    </row>
    <row r="3" spans="1:5" ht="18.75" customHeight="1" x14ac:dyDescent="0.25"/>
    <row r="4" spans="1:5" ht="18.75" customHeight="1" x14ac:dyDescent="0.25">
      <c r="A4" s="4" t="s">
        <v>2</v>
      </c>
      <c r="B4" s="4" t="s">
        <v>3</v>
      </c>
      <c r="C4" s="4" t="s">
        <v>221</v>
      </c>
      <c r="D4" s="4" t="s">
        <v>8</v>
      </c>
      <c r="E4" s="4" t="s">
        <v>9</v>
      </c>
    </row>
    <row r="5" spans="1:5" ht="18.75" customHeight="1" x14ac:dyDescent="0.25"/>
    <row r="6" spans="1:5" s="2" customFormat="1" ht="18.75" customHeight="1" x14ac:dyDescent="0.25">
      <c r="A6" s="2" t="s">
        <v>283</v>
      </c>
      <c r="B6" s="5" t="str">
        <f>A6&amp;" "&amp;IF(C6="","",$C$4&amp;" '"&amp;C6&amp;"' ")&amp;IF(D6="","",$D$4&amp;" '"&amp;D6&amp;"' ")&amp;IF(E6&lt;&gt;"",$E$4&amp;" ","")</f>
        <v xml:space="preserve">iba\app\ps\WordRegistrySpan-Report.ps1 </v>
      </c>
    </row>
  </sheetData>
  <mergeCells count="1">
    <mergeCell ref="A2:E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6"/>
  <sheetViews>
    <sheetView workbookViewId="0"/>
  </sheetViews>
  <sheetFormatPr defaultRowHeight="15" x14ac:dyDescent="0.25"/>
  <cols>
    <col min="1" max="1" width="34" customWidth="1"/>
    <col min="2" max="2" width="60" customWidth="1"/>
    <col min="3" max="4" width="22" customWidth="1"/>
  </cols>
  <sheetData>
    <row r="1" spans="1:4" ht="17.25" x14ac:dyDescent="0.3">
      <c r="A1" s="14" t="s">
        <v>284</v>
      </c>
    </row>
    <row r="2" spans="1:4" ht="48.75" x14ac:dyDescent="0.25">
      <c r="A2" s="15" t="s">
        <v>285</v>
      </c>
    </row>
    <row r="4" spans="1:4" x14ac:dyDescent="0.25">
      <c r="A4" s="10" t="s">
        <v>2</v>
      </c>
      <c r="B4" s="10" t="s">
        <v>3</v>
      </c>
      <c r="C4" s="10" t="s">
        <v>8</v>
      </c>
      <c r="D4" s="10" t="s">
        <v>9</v>
      </c>
    </row>
    <row r="6" spans="1:4" x14ac:dyDescent="0.25">
      <c r="A6" s="2" t="s">
        <v>286</v>
      </c>
      <c r="B6" s="16" t="str">
        <f>A6&amp;" "&amp;IF(C6="","",$C$4&amp;" '"&amp;C6&amp;"' ")&amp;IF(D6&lt;&gt;"",$D$4&amp;" ","")</f>
        <v xml:space="preserve">iba\app\ps\Catalogue-Report.ps1 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Index</vt:lpstr>
      <vt:lpstr>Behaviour</vt:lpstr>
      <vt:lpstr>Book-Narrative</vt:lpstr>
      <vt:lpstr>BookNarrative-Generate</vt:lpstr>
      <vt:lpstr>BookNarrative-Validate</vt:lpstr>
      <vt:lpstr>Build-Passages</vt:lpstr>
      <vt:lpstr>Candidate-Curate</vt:lpstr>
      <vt:lpstr>Candidate-Quality</vt:lpstr>
      <vt:lpstr>Chapter-Generate</vt:lpstr>
      <vt:lpstr>Cluster-Assign</vt:lpstr>
      <vt:lpstr>Cluster-Report</vt:lpstr>
      <vt:lpstr>Config-Maintenance</vt:lpstr>
      <vt:lpstr>ContentIndex-Rebuild</vt:lpstr>
      <vt:lpstr>ContentIndex-Search</vt:lpstr>
      <vt:lpstr>ContentIndex-SizeProfile</vt:lpstr>
      <vt:lpstr>create-iba-view-template</vt:lpstr>
      <vt:lpstr>create-passage-view-and-export</vt:lpstr>
      <vt:lpstr>passages-by-book-view-export</vt:lpstr>
      <vt:lpstr>Debate-Run</vt:lpstr>
      <vt:lpstr>Escalation</vt:lpstr>
      <vt:lpstr>export-iba-config-tables</vt:lpstr>
      <vt:lpstr>Export-Tables</vt:lpstr>
      <vt:lpstr>FolderPurpose</vt:lpstr>
      <vt:lpstr>generate-iba-db-schema-report</vt:lpstr>
      <vt:lpstr>Lexicon-Parse</vt:lpstr>
      <vt:lpstr>Log-Retention</vt:lpstr>
      <vt:lpstr>Manifest-Rebuild</vt:lpstr>
      <vt:lpstr>Manifest-Search</vt:lpstr>
      <vt:lpstr>New-Word</vt:lpstr>
      <vt:lpstr>Operations-Ingest</vt:lpstr>
      <vt:lpstr>Passage-Quality</vt:lpstr>
      <vt:lpstr>PassageDebate-Report</vt:lpstr>
      <vt:lpstr>PassageDebate-Sync</vt:lpstr>
      <vt:lpstr>PathAudit</vt:lpstr>
      <vt:lpstr>Prose</vt:lpstr>
      <vt:lpstr>Raw-Backfill</vt:lpstr>
      <vt:lpstr>Registry-Report</vt:lpstr>
      <vt:lpstr>Reports</vt:lpstr>
      <vt:lpstr>SchemaOverview-Report</vt:lpstr>
      <vt:lpstr>SeedCandidate-Report</vt:lpstr>
      <vt:lpstr>Set-Candidates</vt:lpstr>
      <vt:lpstr>SpanAnalysis-Report</vt:lpstr>
      <vt:lpstr>Start-Iba</vt:lpstr>
      <vt:lpstr>StrongMeaning-Report</vt:lpstr>
      <vt:lpstr>StrongVerse-Report</vt:lpstr>
      <vt:lpstr>VerseLexical</vt:lpstr>
      <vt:lpstr>VerseSpanMeaning-Report</vt:lpstr>
      <vt:lpstr>WholeBookRead-Report</vt:lpstr>
      <vt:lpstr>WordRegistrySpan-Report</vt:lpstr>
      <vt:lpstr>Catalogue-Report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LeRoux Cilliers</cp:lastModifiedBy>
  <dcterms:created xsi:type="dcterms:W3CDTF">2026-08-29T09:24:50Z</dcterms:created>
  <dcterms:modified xsi:type="dcterms:W3CDTF">2026-08-31T10:10:40Z</dcterms:modified>
</cp:coreProperties>
</file>