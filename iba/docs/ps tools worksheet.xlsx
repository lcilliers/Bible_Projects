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ook-Narrative" sheetId="3" state="visible" r:id="rId3"/>
    <sheet xmlns:r="http://schemas.openxmlformats.org/officeDocument/2006/relationships" name="BookNarrative-Generate" sheetId="4" state="visible" r:id="rId4"/>
    <sheet xmlns:r="http://schemas.openxmlformats.org/officeDocument/2006/relationships" name="BookNarrative-Validate" sheetId="5" state="visible" r:id="rId5"/>
    <sheet xmlns:r="http://schemas.openxmlformats.org/officeDocument/2006/relationships" name="Build-Passages" sheetId="6" state="visible" r:id="rId6"/>
    <sheet xmlns:r="http://schemas.openxmlformats.org/officeDocument/2006/relationships" name="Candidate-Curate" sheetId="7" state="visible" r:id="rId7"/>
    <sheet xmlns:r="http://schemas.openxmlformats.org/officeDocument/2006/relationships" name="Candidate-Quality" sheetId="8" state="visible" r:id="rId8"/>
    <sheet xmlns:r="http://schemas.openxmlformats.org/officeDocument/2006/relationships" name="Chapter-Generate" sheetId="9" state="visible" r:id="rId9"/>
    <sheet xmlns:r="http://schemas.openxmlformats.org/officeDocument/2006/relationships" name="Cluster-Assign" sheetId="10" state="visible" r:id="rId10"/>
    <sheet xmlns:r="http://schemas.openxmlformats.org/officeDocument/2006/relationships" name="Cluster-Report" sheetId="11" state="visible" r:id="rId11"/>
    <sheet xmlns:r="http://schemas.openxmlformats.org/officeDocument/2006/relationships" name="Config-Maintenance" sheetId="12" state="visible" r:id="rId12"/>
    <sheet xmlns:r="http://schemas.openxmlformats.org/officeDocument/2006/relationships" name="ContentIndex-Rebuild" sheetId="13" state="visible" r:id="rId13"/>
    <sheet xmlns:r="http://schemas.openxmlformats.org/officeDocument/2006/relationships" name="ContentIndex-Search" sheetId="14" state="visible" r:id="rId14"/>
    <sheet xmlns:r="http://schemas.openxmlformats.org/officeDocument/2006/relationships" name="ContentIndex-SizeProfile" sheetId="15" state="visible" r:id="rId15"/>
    <sheet xmlns:r="http://schemas.openxmlformats.org/officeDocument/2006/relationships" name="create-iba-view-template" sheetId="16" state="visible" r:id="rId16"/>
    <sheet xmlns:r="http://schemas.openxmlformats.org/officeDocument/2006/relationships" name="create-passage-view-and-export" sheetId="17" state="visible" r:id="rId17"/>
    <sheet xmlns:r="http://schemas.openxmlformats.org/officeDocument/2006/relationships" name="passages-by-book-view-export" sheetId="18" state="visible" r:id="rId18"/>
    <sheet xmlns:r="http://schemas.openxmlformats.org/officeDocument/2006/relationships" name="Debate-Run" sheetId="19" state="visible" r:id="rId19"/>
    <sheet xmlns:r="http://schemas.openxmlformats.org/officeDocument/2006/relationships" name="Escalation" sheetId="20" state="visible" r:id="rId20"/>
    <sheet xmlns:r="http://schemas.openxmlformats.org/officeDocument/2006/relationships" name="export-iba-config-tables" sheetId="21" state="visible" r:id="rId21"/>
    <sheet xmlns:r="http://schemas.openxmlformats.org/officeDocument/2006/relationships" name="Export-Tables" sheetId="22" state="visible" r:id="rId22"/>
    <sheet xmlns:r="http://schemas.openxmlformats.org/officeDocument/2006/relationships" name="FolderPurpose" sheetId="23" state="visible" r:id="rId23"/>
    <sheet xmlns:r="http://schemas.openxmlformats.org/officeDocument/2006/relationships" name="generate-iba-db-schema-report" sheetId="24" state="visible" r:id="rId24"/>
    <sheet xmlns:r="http://schemas.openxmlformats.org/officeDocument/2006/relationships" name="Lexicon-Parse" sheetId="25" state="visible" r:id="rId25"/>
    <sheet xmlns:r="http://schemas.openxmlformats.org/officeDocument/2006/relationships" name="Log-Retention" sheetId="26" state="visible" r:id="rId26"/>
    <sheet xmlns:r="http://schemas.openxmlformats.org/officeDocument/2006/relationships" name="Manifest-Rebuild" sheetId="27" state="visible" r:id="rId27"/>
    <sheet xmlns:r="http://schemas.openxmlformats.org/officeDocument/2006/relationships" name="Manifest-Search" sheetId="28" state="visible" r:id="rId28"/>
    <sheet xmlns:r="http://schemas.openxmlformats.org/officeDocument/2006/relationships" name="New-Word" sheetId="29" state="visible" r:id="rId29"/>
    <sheet xmlns:r="http://schemas.openxmlformats.org/officeDocument/2006/relationships" name="Operations-Ingest" sheetId="30" state="visible" r:id="rId30"/>
    <sheet xmlns:r="http://schemas.openxmlformats.org/officeDocument/2006/relationships" name="Passage-Quality" sheetId="31" state="visible" r:id="rId31"/>
    <sheet xmlns:r="http://schemas.openxmlformats.org/officeDocument/2006/relationships" name="PassageDebate-Report" sheetId="32" state="visible" r:id="rId32"/>
    <sheet xmlns:r="http://schemas.openxmlformats.org/officeDocument/2006/relationships" name="PassageDebate-Sync" sheetId="33" state="visible" r:id="rId33"/>
    <sheet xmlns:r="http://schemas.openxmlformats.org/officeDocument/2006/relationships" name="PathAudit" sheetId="34" state="visible" r:id="rId34"/>
    <sheet xmlns:r="http://schemas.openxmlformats.org/officeDocument/2006/relationships" name="Prose" sheetId="35" state="visible" r:id="rId35"/>
    <sheet xmlns:r="http://schemas.openxmlformats.org/officeDocument/2006/relationships" name="Raw-Backfill" sheetId="36" state="visible" r:id="rId36"/>
    <sheet xmlns:r="http://schemas.openxmlformats.org/officeDocument/2006/relationships" name="Registry-Report" sheetId="37" state="visible" r:id="rId37"/>
    <sheet xmlns:r="http://schemas.openxmlformats.org/officeDocument/2006/relationships" name="Reports" sheetId="38" state="visible" r:id="rId38"/>
    <sheet xmlns:r="http://schemas.openxmlformats.org/officeDocument/2006/relationships" name="SchemaOverview-Report" sheetId="39" state="visible" r:id="rId39"/>
    <sheet xmlns:r="http://schemas.openxmlformats.org/officeDocument/2006/relationships" name="SchemaOverview-BibleRes" sheetId="40" state="visible" r:id="rId40"/>
    <sheet xmlns:r="http://schemas.openxmlformats.org/officeDocument/2006/relationships" name="SeedCandidate-Report" sheetId="41" state="visible" r:id="rId41"/>
    <sheet xmlns:r="http://schemas.openxmlformats.org/officeDocument/2006/relationships" name="Set-Candidates" sheetId="42" state="visible" r:id="rId42"/>
    <sheet xmlns:r="http://schemas.openxmlformats.org/officeDocument/2006/relationships" name="SpanAnalysis-Report" sheetId="43" state="visible" r:id="rId43"/>
    <sheet xmlns:r="http://schemas.openxmlformats.org/officeDocument/2006/relationships" name="Start-Iba" sheetId="44" state="visible" r:id="rId44"/>
    <sheet xmlns:r="http://schemas.openxmlformats.org/officeDocument/2006/relationships" name="StrongMeaning-Report" sheetId="45" state="visible" r:id="rId45"/>
    <sheet xmlns:r="http://schemas.openxmlformats.org/officeDocument/2006/relationships" name="StrongVerse-Report" sheetId="46" state="visible" r:id="rId46"/>
    <sheet xmlns:r="http://schemas.openxmlformats.org/officeDocument/2006/relationships" name="VerseLexical" sheetId="47" state="visible" r:id="rId47"/>
    <sheet xmlns:r="http://schemas.openxmlformats.org/officeDocument/2006/relationships" name="VerseSpanMeaning-Report" sheetId="48" state="visible" r:id="rId48"/>
    <sheet xmlns:r="http://schemas.openxmlformats.org/officeDocument/2006/relationships" name="WholeBookRead-Report" sheetId="49" state="visible" r:id="rId49"/>
    <sheet xmlns:r="http://schemas.openxmlformats.org/officeDocument/2006/relationships" name="WordRegistrySpan-Report" sheetId="50" state="visible" r:id="rId50"/>
    <sheet xmlns:r="http://schemas.openxmlformats.org/officeDocument/2006/relationships" name="Catalogue-Report" sheetId="51" state="visible" r:id="rId51"/>
    <sheet xmlns:r="http://schemas.openxmlformats.org/officeDocument/2006/relationships" name="Catalogue-Update" sheetId="52" state="visible" r:id="rId5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4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4" fillId="2" borderId="2" applyAlignment="1" pivotButton="0" quotePrefix="0" xfId="0">
      <alignment horizontal="left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55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Book-Narrative.ps1</t>
        </is>
      </c>
      <c r="B6" s="19" t="inlineStr">
        <is>
          <t>Run the book-narrative step for a book.</t>
        </is>
      </c>
      <c r="C6" s="12" t="inlineStr">
        <is>
          <t>Active</t>
        </is>
      </c>
    </row>
    <row r="7" ht="18.75" customFormat="1" customHeight="1" s="18">
      <c r="A7" s="18" t="inlineStr">
        <is>
          <t>BookNarrative-Generate.ps1</t>
        </is>
      </c>
      <c r="B7" s="19" t="inlineStr">
        <is>
          <t>Generate the book-narrative draft.</t>
        </is>
      </c>
      <c r="C7" s="13" t="inlineStr">
        <is>
          <t>RETIRED</t>
        </is>
      </c>
    </row>
    <row r="8" ht="18.75" customFormat="1" customHeight="1" s="18">
      <c r="A8" s="18" t="inlineStr">
        <is>
          <t>BookNarrative-Validate.ps1</t>
        </is>
      </c>
      <c r="B8" s="19" t="inlineStr">
        <is>
          <t>Validate a book-narrative file.</t>
        </is>
      </c>
      <c r="C8" s="13" t="inlineStr">
        <is>
          <t>RETIRED</t>
        </is>
      </c>
    </row>
    <row r="9" ht="18.75" customFormat="1" customHeight="1" s="18">
      <c r="A9" s="18" t="inlineStr">
        <is>
          <t>Build-Passages.ps1</t>
        </is>
      </c>
      <c r="B9" s="19" t="inlineStr">
        <is>
          <t>Build passage rows from a payload.</t>
        </is>
      </c>
      <c r="C9" s="12" t="inlineStr">
        <is>
          <t>Active</t>
        </is>
      </c>
    </row>
    <row r="10" ht="18.75" customFormat="1" customHeight="1" s="18">
      <c r="A10" s="18" t="inlineStr">
        <is>
          <t>Candidate-Curate.ps1</t>
        </is>
      </c>
      <c r="B10" s="19" t="inlineStr">
        <is>
          <t>Curate candidate_seed rows (tag/decide/split/delete).</t>
        </is>
      </c>
      <c r="C10" s="13" t="inlineStr">
        <is>
          <t>RETIRED</t>
        </is>
      </c>
    </row>
    <row r="11" ht="18.75" customFormat="1" customHeight="1" s="18">
      <c r="A11" s="18" t="inlineStr">
        <is>
          <t>Candidate-Quality.ps1</t>
        </is>
      </c>
      <c r="B11" s="19" t="inlineStr">
        <is>
          <t>candidate_seed quality-check report.</t>
        </is>
      </c>
      <c r="C11" s="13" t="inlineStr">
        <is>
          <t>RETIRED</t>
        </is>
      </c>
    </row>
    <row r="12" ht="18.75" customFormat="1" customHeight="1" s="18">
      <c r="A12" s="18" t="inlineStr">
        <is>
          <t>Chapter-Generate.ps1</t>
        </is>
      </c>
      <c r="B12" s="19" t="inlineStr">
        <is>
          <t>Generate a chapter-level output.</t>
        </is>
      </c>
      <c r="C12" s="13" t="inlineStr">
        <is>
          <t>RETIRED</t>
        </is>
      </c>
    </row>
    <row r="13" ht="18.75" customFormat="1" customHeight="1" s="18">
      <c r="A13" s="18" t="inlineStr">
        <is>
          <t>Cluster-Assign.ps1</t>
        </is>
      </c>
      <c r="B13" s="19" t="inlineStr">
        <is>
          <t>Assign strongs to M-code clusters / validate assignment.</t>
        </is>
      </c>
      <c r="C13" s="12" t="inlineStr">
        <is>
          <t>Active</t>
        </is>
      </c>
    </row>
    <row r="14" ht="18.75" customFormat="1" customHeight="1" s="18">
      <c r="A14" s="18" t="inlineStr">
        <is>
          <t>Cluster-Report.ps1</t>
        </is>
      </c>
      <c r="B14" s="19" t="inlineStr">
        <is>
          <t>Cluster overview report.</t>
        </is>
      </c>
      <c r="C14" s="12" t="inlineStr">
        <is>
          <t>Active</t>
        </is>
      </c>
    </row>
    <row r="15" ht="18.75" customFormat="1" customHeight="1" s="18">
      <c r="A15" s="18" t="inlineStr">
        <is>
          <t>Config-Maintenance.ps1</t>
        </is>
      </c>
      <c r="B15" s="19" t="inlineStr">
        <is>
          <t>THE sanctioned path for changing a cfg_* row.</t>
        </is>
      </c>
      <c r="C15" s="12" t="inlineStr">
        <is>
          <t>Active</t>
        </is>
      </c>
    </row>
    <row r="16" ht="18.75" customFormat="1" customHeight="1" s="18">
      <c r="A16" s="18" t="inlineStr">
        <is>
          <t>ContentIndex-Rebuild.ps1</t>
        </is>
      </c>
      <c r="B16" s="19" t="inlineStr">
        <is>
          <t>Rebuild the content search index.</t>
        </is>
      </c>
      <c r="C16" s="12" t="inlineStr">
        <is>
          <t>Active</t>
        </is>
      </c>
    </row>
    <row r="17" ht="18.75" customFormat="1" customHeight="1" s="18">
      <c r="A17" s="18" t="inlineStr">
        <is>
          <t>ContentIndex-Search.ps1</t>
        </is>
      </c>
      <c r="B17" s="19" t="inlineStr">
        <is>
          <t>Query the content search index.</t>
        </is>
      </c>
      <c r="C17" s="12" t="inlineStr">
        <is>
          <t>Active</t>
        </is>
      </c>
    </row>
    <row r="18" ht="18.75" customFormat="1" customHeight="1" s="18">
      <c r="A18" s="18" t="inlineStr">
        <is>
          <t>ContentIndex-SizeProfile.ps1</t>
        </is>
      </c>
      <c r="B18" s="19" t="inlineStr">
        <is>
          <t>Size-profile the content index.</t>
        </is>
      </c>
      <c r="C18" s="12" t="inlineStr">
        <is>
          <t>Active</t>
        </is>
      </c>
    </row>
    <row r="19" ht="18.75" customFormat="1" customHeight="1" s="18">
      <c r="A19" s="18" t="inlineStr">
        <is>
          <t>create-iba-view-template.ps1</t>
        </is>
      </c>
      <c r="B19" s="19" t="inlineStr">
        <is>
          <t>Create/replace a named SQLite view in iba.db.</t>
        </is>
      </c>
      <c r="C19" s="11" t="inlineStr">
        <is>
          <t>n/a (not dispatcher-gated)</t>
        </is>
      </c>
    </row>
    <row r="20" ht="18.75" customFormat="1" customHeight="1" s="18">
      <c r="A20" s="18" t="inlineStr">
        <is>
          <t>create-passage-view-and-export.ps1</t>
        </is>
      </c>
      <c r="B20" s="19" t="inlineStr">
        <is>
          <t>Create vw_passage_verse_top10 and export it to CSV.</t>
        </is>
      </c>
      <c r="C20" s="11" t="inlineStr">
        <is>
          <t>n/a (not dispatcher-gated)</t>
        </is>
      </c>
    </row>
    <row r="21" ht="18.75" customFormat="1" customHeight="1" s="18">
      <c r="A21" s="18" t="inlineStr">
        <is>
          <t>create-passages-by-book-view-and-export.ps1</t>
        </is>
      </c>
      <c r="B21" s="19" t="inlineStr">
        <is>
          <t>Create vw_passages_by_book (scoped to one book) and export it.</t>
        </is>
      </c>
      <c r="C21" s="11" t="inlineStr">
        <is>
          <t>n/a (not dispatcher-gated)</t>
        </is>
      </c>
    </row>
    <row r="22" ht="18.75" customFormat="1" customHeight="1" s="18">
      <c r="A22" s="18" t="inlineStr">
        <is>
          <t>Debate-Run.ps1</t>
        </is>
      </c>
      <c r="B22" s="19" t="inlineStr">
        <is>
          <t>The debate pipeline (HIB/phenomenon/operation/closing) for a book.</t>
        </is>
      </c>
      <c r="C22" s="11" t="inlineStr">
        <is>
          <t>n/a (not dispatcher-gated)</t>
        </is>
      </c>
    </row>
    <row r="23" ht="18.75" customFormat="1" customHeight="1" s="18">
      <c r="A23" s="18" t="inlineStr">
        <is>
          <t>Escalation.ps1</t>
        </is>
      </c>
      <c r="B23" s="19" t="inlineStr">
        <is>
          <t>See the researcher's own model sheet, 'escalation actions worksheet.xlsx' -- not rebuilt here, this tab is a pointer only.</t>
        </is>
      </c>
      <c r="C23" s="12" t="inlineStr">
        <is>
          <t>Active</t>
        </is>
      </c>
    </row>
    <row r="24" ht="18.75" customFormat="1" customHeight="1" s="18">
      <c r="A24" s="18" t="inlineStr">
        <is>
          <t>export-iba-config-tables.ps1</t>
        </is>
      </c>
      <c r="B24" s="19" t="inlineStr">
        <is>
          <t>Export all cfg_* tables to CSV + an index report.</t>
        </is>
      </c>
      <c r="C24" s="11" t="inlineStr">
        <is>
          <t>n/a (not dispatcher-gated)</t>
        </is>
      </c>
    </row>
    <row r="25" ht="18.75" customFormat="1" customHeight="1" s="18">
      <c r="A25" s="18" t="inlineStr">
        <is>
          <t>Export-Tables.ps1</t>
        </is>
      </c>
      <c r="B25" s="19" t="inlineStr">
        <is>
          <t>Export one or more cfg_*/data tables to CSV.</t>
        </is>
      </c>
      <c r="C25" s="12" t="inlineStr">
        <is>
          <t>Active</t>
        </is>
      </c>
    </row>
    <row r="26" ht="18.75" customFormat="1" customHeight="1" s="18">
      <c r="A26" s="18" t="inlineStr">
        <is>
          <t>FolderPurpose.ps1</t>
        </is>
      </c>
      <c r="B26" s="19" t="inlineStr">
        <is>
          <t>The folder_purpose governance mechanism (Methods A-D).</t>
        </is>
      </c>
      <c r="C26" s="12" t="inlineStr">
        <is>
          <t>Active</t>
        </is>
      </c>
    </row>
    <row r="27" ht="18.75" customFormat="1" customHeight="1" s="18">
      <c r="A27" s="18" t="inlineStr">
        <is>
          <t>generate-iba-db-schema-report.ps1</t>
        </is>
      </c>
      <c r="B27" s="19" t="inlineStr">
        <is>
          <t>Generate the full iba.db schema overview doc.</t>
        </is>
      </c>
      <c r="C27" s="11" t="inlineStr">
        <is>
          <t>n/a (not dispatcher-gated)</t>
        </is>
      </c>
    </row>
    <row r="28" ht="18.75" customFormat="1" customHeight="1" s="18">
      <c r="A28" s="18" t="inlineStr">
        <is>
          <t>Lexicon-Parse.ps1</t>
        </is>
      </c>
      <c r="B28" s="19" t="inlineStr">
        <is>
          <t>Parse strong_lexicon / related-word data.</t>
        </is>
      </c>
      <c r="C28" s="12" t="inlineStr">
        <is>
          <t>Active</t>
        </is>
      </c>
    </row>
    <row r="29" ht="18.75" customFormat="1" customHeight="1" s="18">
      <c r="A29" s="18" t="inlineStr">
        <is>
          <t>Log-Retention.ps1</t>
        </is>
      </c>
      <c r="B29" s="19" t="inlineStr">
        <is>
          <t>Apply log-retention rules (prune old logs).</t>
        </is>
      </c>
      <c r="C29" s="12" t="inlineStr">
        <is>
          <t>Active</t>
        </is>
      </c>
    </row>
    <row r="30" ht="18.75" customFormat="1" customHeight="1" s="18">
      <c r="A30" s="18" t="inlineStr">
        <is>
          <t>Manifest-Rebuild.ps1</t>
        </is>
      </c>
      <c r="B30" s="19" t="inlineStr">
        <is>
          <t>Rebuild the file_manifest table.</t>
        </is>
      </c>
      <c r="C30" s="12" t="inlineStr">
        <is>
          <t>Active</t>
        </is>
      </c>
    </row>
    <row r="31" ht="18.75" customFormat="1" customHeight="1" s="18">
      <c r="A31" s="18" t="inlineStr">
        <is>
          <t>Manifest-Search.ps1</t>
        </is>
      </c>
      <c r="B31" s="19" t="inlineStr">
        <is>
          <t>Search the file_manifest table.</t>
        </is>
      </c>
      <c r="C31" s="12" t="inlineStr">
        <is>
          <t>Active</t>
        </is>
      </c>
    </row>
    <row r="32" ht="18.75" customFormat="1" customHeight="1" s="18">
      <c r="A32" s="18" t="inlineStr">
        <is>
          <t>New-Word.ps1</t>
        </is>
      </c>
      <c r="B32" s="19" t="inlineStr">
        <is>
          <t>Register a new word_registry entry and run its first-pass pipeline.</t>
        </is>
      </c>
      <c r="C32" s="12" t="inlineStr">
        <is>
          <t>Active</t>
        </is>
      </c>
    </row>
    <row r="33" ht="18.75" customFormat="1" customHeight="1" s="18">
      <c r="A33" s="18" t="inlineStr">
        <is>
          <t>Operations-Ingest.ps1</t>
        </is>
      </c>
      <c r="B33" s="19" t="inlineStr">
        <is>
          <t>Ingest a debate-step payload (hib/phenomenon/operation/closing).</t>
        </is>
      </c>
      <c r="C33" s="12" t="inlineStr">
        <is>
          <t>Active</t>
        </is>
      </c>
    </row>
    <row r="34" ht="18.75" customFormat="1" customHeight="1" s="18">
      <c r="A34" s="18" t="inlineStr">
        <is>
          <t>Passage-Quality.ps1</t>
        </is>
      </c>
      <c r="B34" s="19" t="inlineStr">
        <is>
          <t>Quality-check passages, optionally scoped to a book.</t>
        </is>
      </c>
      <c r="C34" s="12" t="inlineStr">
        <is>
          <t>Active</t>
        </is>
      </c>
    </row>
    <row r="35" ht="18.75" customFormat="1" customHeight="1" s="18">
      <c r="A35" s="18" t="inlineStr">
        <is>
          <t>PassageDebate-Report.ps1</t>
        </is>
      </c>
      <c r="B35" s="19" t="inlineStr">
        <is>
          <t>Report on passage/debate state for a book.</t>
        </is>
      </c>
      <c r="C35" s="13" t="inlineStr">
        <is>
          <t>RETIRED</t>
        </is>
      </c>
    </row>
    <row r="36" ht="18.75" customFormat="1" customHeight="1" s="18">
      <c r="A36" s="18" t="inlineStr">
        <is>
          <t>PassageDebate-Sync.ps1</t>
        </is>
      </c>
      <c r="B36" s="19" t="inlineStr">
        <is>
          <t>Sync file-based debate output back into passage/phenomenon.</t>
        </is>
      </c>
      <c r="C36" s="13" t="inlineStr">
        <is>
          <t>RETIRED</t>
        </is>
      </c>
    </row>
    <row r="37" ht="18.75" customFormat="1" customHeight="1" s="18">
      <c r="A37" s="18" t="inlineStr">
        <is>
          <t>PathAudit.ps1</t>
        </is>
      </c>
      <c r="B37" s="19" t="inlineStr">
        <is>
          <t>Scan for hardcoded paths that should be config-driven.</t>
        </is>
      </c>
      <c r="C37" s="12" t="inlineStr">
        <is>
          <t>Active</t>
        </is>
      </c>
    </row>
    <row r="38" ht="18.75" customFormat="1" customHeight="1" s="18">
      <c r="A38" s="18" t="inlineStr">
        <is>
          <t>Prose.ps1</t>
        </is>
      </c>
      <c r="B38" s="19" t="inlineStr">
        <is>
          <t>Prose store: extract/search/export/import/flag/status the programme prose.</t>
        </is>
      </c>
      <c r="C38" s="12" t="inlineStr">
        <is>
          <t>Active</t>
        </is>
      </c>
    </row>
    <row r="39" ht="18.75" customFormat="1" customHeight="1" s="18">
      <c r="A39" s="18" t="inlineStr">
        <is>
          <t>Raw-Backfill.ps1</t>
        </is>
      </c>
      <c r="B39" s="19" t="inlineStr">
        <is>
          <t>Backfill span/strong_verse from raw span data for a book.</t>
        </is>
      </c>
      <c r="C39" s="12" t="inlineStr">
        <is>
          <t>Active</t>
        </is>
      </c>
    </row>
    <row r="40" ht="18.75" customFormat="1" customHeight="1" s="18">
      <c r="A40" s="18" t="inlineStr">
        <is>
          <t>Registry-Report.ps1</t>
        </is>
      </c>
      <c r="B40" s="19" t="inlineStr">
        <is>
          <t>word_registry overview report.</t>
        </is>
      </c>
      <c r="C40" s="12" t="inlineStr">
        <is>
          <t>Active</t>
        </is>
      </c>
    </row>
    <row r="41" ht="18.75" customFormat="1" customHeight="1" s="18">
      <c r="A41" s="18" t="inlineStr">
        <is>
          <t>Reports.ps1</t>
        </is>
      </c>
      <c r="B41" s="19" t="inlineStr">
        <is>
          <t>Word/book validation and report bundle.</t>
        </is>
      </c>
      <c r="C41" s="12" t="inlineStr">
        <is>
          <t>Active</t>
        </is>
      </c>
    </row>
    <row r="42" ht="18.75" customFormat="1" customHeight="1" s="18">
      <c r="A42" s="18" t="inlineStr">
        <is>
          <t>SchemaOverview-Report.ps1</t>
        </is>
      </c>
      <c r="B42" s="19" t="inlineStr">
        <is>
          <t>Live iba.db schema overview report.</t>
        </is>
      </c>
      <c r="C42" s="12" t="inlineStr">
        <is>
          <t>Active</t>
        </is>
      </c>
    </row>
    <row r="43" ht="18.75" customFormat="1" customHeight="1" s="18">
      <c r="A43" s="20" t="inlineStr">
        <is>
          <t>SchemaOverview-BibleResearch-Report.ps1</t>
        </is>
      </c>
      <c r="B43" s="19" t="inlineStr">
        <is>
          <t>Live bible_research.db schema overview report (merged against cfg_table/cfg_column, discrepancies flagged).</t>
        </is>
      </c>
      <c r="C43" s="21" t="inlineStr">
        <is>
          <t>Active</t>
        </is>
      </c>
    </row>
    <row r="44" ht="18.75" customFormat="1" customHeight="1" s="18">
      <c r="A44" s="18" t="inlineStr">
        <is>
          <t>SeedCandidate-Report.ps1</t>
        </is>
      </c>
      <c r="B44" s="19" t="inlineStr">
        <is>
          <t>candidate_seed coverage report.</t>
        </is>
      </c>
      <c r="C44" s="13" t="inlineStr">
        <is>
          <t>RETIRED</t>
        </is>
      </c>
    </row>
    <row r="45" ht="18.75" customFormat="1" customHeight="1" s="18">
      <c r="A45" s="18" t="inlineStr">
        <is>
          <t>Set-Candidates.ps1</t>
        </is>
      </c>
      <c r="B45" s="19" t="inlineStr">
        <is>
          <t>Seed candidate_seed rows for a book.</t>
        </is>
      </c>
      <c r="C45" s="13" t="inlineStr">
        <is>
          <t>RETIRED</t>
        </is>
      </c>
    </row>
    <row r="46" ht="18.75" customFormat="1" customHeight="1" s="18">
      <c r="A46" s="18" t="inlineStr">
        <is>
          <t>SpanAnalysis-Report.ps1</t>
        </is>
      </c>
      <c r="B46" s="19" t="inlineStr">
        <is>
          <t>span table analysis report.</t>
        </is>
      </c>
      <c r="C46" s="12" t="inlineStr">
        <is>
          <t>Active</t>
        </is>
      </c>
    </row>
    <row r="47" ht="18.75" customFormat="1" customHeight="1" s="18">
      <c r="A47" s="18" t="inlineStr">
        <is>
          <t>Start-Iba.ps1</t>
        </is>
      </c>
      <c r="B47" s="19" t="inlineStr">
        <is>
          <t>Session bootstrap -- run once per session before any IBA work.</t>
        </is>
      </c>
      <c r="C47" s="11" t="inlineStr">
        <is>
          <t>n/a (not dispatcher-gated)</t>
        </is>
      </c>
    </row>
    <row r="48" ht="18.75" customFormat="1" customHeight="1" s="18">
      <c r="A48" s="18" t="inlineStr">
        <is>
          <t>StrongMeaning-Report.ps1</t>
        </is>
      </c>
      <c r="B48" s="19" t="inlineStr">
        <is>
          <t>strong_meaning_parsed/strong_lexicon coverage report.</t>
        </is>
      </c>
      <c r="C48" s="12" t="inlineStr">
        <is>
          <t>Active</t>
        </is>
      </c>
    </row>
    <row r="49" ht="18.75" customFormat="1" customHeight="1" s="18">
      <c r="A49" s="18" t="inlineStr">
        <is>
          <t>StrongVerse-Report.ps1</t>
        </is>
      </c>
      <c r="B49" s="19" t="inlineStr">
        <is>
          <t>Report a word's strong&lt;-&gt;verse coverage.</t>
        </is>
      </c>
      <c r="C49" s="12" t="inlineStr">
        <is>
          <t>Active</t>
        </is>
      </c>
    </row>
    <row r="50" ht="18.75" customFormat="1" customHeight="1" s="18">
      <c r="A50" s="18" t="inlineStr">
        <is>
          <t>VerseLexical.ps1</t>
        </is>
      </c>
      <c r="B50" s="19" t="inlineStr">
        <is>
          <t>Run verse_lexical (L4b) derivation for a book/chapter range.</t>
        </is>
      </c>
      <c r="C50" s="12" t="inlineStr">
        <is>
          <t>Active</t>
        </is>
      </c>
    </row>
    <row r="51" ht="18.75" customFormat="1" customHeight="1" s="18">
      <c r="A51" s="18" t="inlineStr">
        <is>
          <t>VerseSpanMeaning-Report.ps1</t>
        </is>
      </c>
      <c r="B51" s="19" t="inlineStr">
        <is>
          <t>Report verse-span-meaning coverage for a book.</t>
        </is>
      </c>
      <c r="C51" s="13" t="inlineStr">
        <is>
          <t>RETIRED</t>
        </is>
      </c>
    </row>
    <row r="52" ht="18.75" customFormat="1" customHeight="1" s="18">
      <c r="A52" s="18" t="inlineStr">
        <is>
          <t>WholeBookRead-Report.ps1</t>
        </is>
      </c>
      <c r="B52" s="19" t="inlineStr">
        <is>
          <t>Whole-book-read report for a book.</t>
        </is>
      </c>
      <c r="C52" s="12" t="inlineStr">
        <is>
          <t>Active</t>
        </is>
      </c>
    </row>
    <row r="53">
      <c r="A53" s="18" t="inlineStr">
        <is>
          <t>WordRegistrySpan-Report.ps1</t>
        </is>
      </c>
      <c r="B53" s="19" t="inlineStr">
        <is>
          <t>Report a word's span coverage against its registry entry.</t>
        </is>
      </c>
      <c r="C53" s="12" t="inlineStr">
        <is>
          <t>Active</t>
        </is>
      </c>
    </row>
    <row r="54">
      <c r="A54" s="20" t="inlineStr">
        <is>
          <t>Catalogue-Report.ps1</t>
        </is>
      </c>
      <c r="B54" s="19" t="inlineStr">
        <is>
          <t>Structural review of wa_obs_question_catalogue (bible_research.db) -- no findings/joins. Read-only.</t>
        </is>
      </c>
      <c r="C54" s="21" t="inlineStr">
        <is>
          <t>Active</t>
        </is>
      </c>
    </row>
    <row r="55">
      <c r="A55" t="inlineStr">
        <is>
          <t>Catalogue-Update.ps1</t>
        </is>
      </c>
      <c r="B55" t="inlineStr">
        <is>
          <t>Validated partial UPDATE of one wa_obs_question_catalogue row by obs_id (source/last_modified/etc.). No history table.</t>
        </is>
      </c>
      <c r="C55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Book-Narrative.ps1</t>
        </is>
      </c>
    </row>
    <row r="2" ht="18.75" customFormat="1" customHeight="1" s="18">
      <c r="A2" s="17" t="inlineStr">
        <is>
          <t>Run the book-narrative step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iba\app\ps\Book-Narrative.ps1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BookNarrative-Generate.ps1</t>
        </is>
      </c>
    </row>
    <row r="2" ht="18.75" customFormat="1" customHeight="1" s="18">
      <c r="A2" s="17" t="inlineStr">
        <is>
          <t>Generate the book-narrative draft.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iba\app\ps\BookNarrative-Generate.ps1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BookNarrative-Validate.ps1</t>
        </is>
      </c>
    </row>
    <row r="2" ht="18.75" customFormat="1" customHeight="1" s="18">
      <c r="A2" s="17" t="inlineStr">
        <is>
          <t>Validate a book-narrative file.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-Path</t>
        </is>
      </c>
      <c r="D4" s="4" t="inlineStr">
        <is>
          <t>-Trace</t>
        </is>
      </c>
    </row>
    <row r="5" ht="18.75" customFormat="1" customHeight="1" s="18">
      <c r="C5" s="17" t="inlineStr">
        <is>
          <t>path to the narrative file</t>
        </is>
      </c>
    </row>
    <row r="6" ht="18.75" customFormat="1" customHeight="1" s="18">
      <c r="A6" s="18" t="inlineStr">
        <is>
          <t>iba\app\ps\BookNarrative-Validate.ps1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" customWidth="1" min="8" max="8"/>
    <col width="11.4" customWidth="1" min="9" max="9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  <c r="H4" s="22" t="inlineStr">
        <is>
          <t>-Suggest</t>
        </is>
      </c>
      <c r="I4" s="22" t="inlineStr">
        <is>
          <t>-Confirm</t>
        </is>
      </c>
    </row>
    <row r="5" ht="18.75" customFormat="1" customHeight="1" s="18">
      <c r="F5" s="17" t="inlineStr">
        <is>
          <t>path to the payload JSON</t>
        </is>
      </c>
      <c r="H5" s="23" t="inlineStr">
        <is>
          <t>switch -- propose the next candidate passage boundary from cheap mechanical proxy signals (no table write, pauses for confirm/adjust); mutually exclusive with -Chapters/-Range</t>
        </is>
      </c>
      <c r="I5" s="23" t="inlineStr">
        <is>
          <t>switch -- only with -Suggest: accept the suggestion verbatim, straight into passage.build (still needs -PayloadPath)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","")&amp;IF(H6&lt;&gt;"",$H$4&amp;" ","")&amp;IF(I6&lt;&gt;"",$I$4&amp;"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1"/>
  </cols>
  <sheetData>
    <row r="1" ht="18.75" customHeight="1">
      <c r="A1" s="1" t="inlineStr">
        <is>
          <t>Candidate-Curate.ps1</t>
        </is>
      </c>
    </row>
    <row r="2" ht="18.75" customFormat="1" customHeight="1" s="18">
      <c r="A2" s="17" t="inlineStr">
        <is>
          <t>Curate candidate_seed rows (tag/decide/split/delete).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-Mode</t>
        </is>
      </c>
      <c r="D4" s="4" t="inlineStr">
        <is>
          <t>-LemmaKey</t>
        </is>
      </c>
      <c r="E4" s="4" t="inlineStr">
        <is>
          <t>-Field</t>
        </is>
      </c>
      <c r="F4" s="4" t="inlineStr">
        <is>
          <t>-StrongVariant</t>
        </is>
      </c>
      <c r="G4" s="4" t="inlineStr">
        <is>
          <t>-Value</t>
        </is>
      </c>
      <c r="H4" s="4" t="inlineStr">
        <is>
          <t>-InputFile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Curate|Load</t>
        </is>
      </c>
      <c r="E5" s="17" t="inlineStr">
        <is>
          <t>tag|decision|split|delete</t>
        </is>
      </c>
      <c r="H5" s="17" t="inlineStr">
        <is>
          <t>Load</t>
        </is>
      </c>
    </row>
    <row r="6" ht="18.75" customFormat="1" customHeight="1" s="18">
      <c r="A6" s="18" t="inlineStr">
        <is>
          <t>iba\app\ps\Candidate-Curate.ps1</t>
        </is>
      </c>
      <c r="B6" s="5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K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Candidate-Quality.ps1</t>
        </is>
      </c>
    </row>
    <row r="2" ht="18.75" customFormat="1" customHeight="1" s="18">
      <c r="A2" s="17" t="inlineStr">
        <is>
          <t>candidate_seed quality-check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iba\app\ps\Candidate-Quality.ps1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Chapter-Generate.ps1</t>
        </is>
      </c>
    </row>
    <row r="2" ht="18.75" customFormat="1" customHeight="1" s="18">
      <c r="A2" s="17" t="inlineStr">
        <is>
          <t>Generate a chapter-level output.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iba\app\ps\Chapter-Generate.ps1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4" t="inlineStr">
        <is>
          <t>-Question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s="17" t="inlineStr">
        <is>
          <t>Propose: representative description shown to the researcher</t>
        </is>
      </c>
      <c r="I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5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ContentIndex-Rebuild.ps1</t>
        </is>
      </c>
    </row>
    <row r="2" ht="18.75" customFormat="1" customHeight="1" s="18">
      <c r="A2" s="17" t="inlineStr">
        <is>
          <t>Rebuild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create-iba-view-template.ps1</t>
        </is>
      </c>
    </row>
    <row r="2" ht="18.75" customFormat="1" customHeight="1" s="18">
      <c r="A2" s="17" t="inlineStr">
        <is>
          <t>Create/replace a named SQLite view in iba.db.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-Apply</t>
        </is>
      </c>
      <c r="F4" s="4" t="inlineStr">
        <is>
          <t>-ReplaceExisting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vw_cfg_table_catalogue</t>
        </is>
      </c>
      <c r="E5" s="17" t="inlineStr">
        <is>
          <t>actually create/replace the view</t>
        </is>
      </c>
    </row>
    <row r="6" ht="18.75" customFormat="1" customHeight="1" s="18">
      <c r="A6" s="18" t="inlineStr">
        <is>
          <t>iba\app\ps\create-iba-view-template.ps1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</cols>
  <sheetData>
    <row r="1" ht="18.75" customHeight="1">
      <c r="A1" s="1" t="inlineStr">
        <is>
          <t>create-passage-view-and-export.ps1</t>
        </is>
      </c>
    </row>
    <row r="2" ht="18.75" customFormat="1" customHeight="1" s="18">
      <c r="A2" s="17" t="inlineStr">
        <is>
          <t>Create vw_passage_verse_top10 and export it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-OutDir</t>
        </is>
      </c>
      <c r="F4" s="4" t="inlineStr">
        <is>
          <t>-CsvFileName</t>
        </is>
      </c>
      <c r="G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vw_passage_verse_top10</t>
        </is>
      </c>
      <c r="E5" s="17" t="inlineStr">
        <is>
          <t>default: iba/app/config</t>
        </is>
      </c>
      <c r="F5" s="17" t="inlineStr">
        <is>
          <t>default: vw_passage_verse_top10.csv</t>
        </is>
      </c>
    </row>
    <row r="6" ht="18.75" customFormat="1" customHeight="1" s="18">
      <c r="A6" s="18" t="inlineStr">
        <is>
          <t>iba\app\ps\create-passage-view-and-export.ps1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create-passages-by-book-view-and-export.ps1</t>
        </is>
      </c>
    </row>
    <row r="2" ht="18.75" customFormat="1" customHeight="1" s="18">
      <c r="A2" s="17" t="inlineStr">
        <is>
          <t>Create vw_passages_by_book (scoped to one book) and export it.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-Book</t>
        </is>
      </c>
      <c r="F4" s="4" t="inlineStr">
        <is>
          <t>-OutDir</t>
        </is>
      </c>
      <c r="G4" s="4" t="inlineStr">
        <is>
          <t>-CsvFileName</t>
        </is>
      </c>
      <c r="H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vw_passages_by_book</t>
        </is>
      </c>
      <c r="E5" s="17" t="inlineStr">
        <is>
          <t>default: Rom</t>
        </is>
      </c>
      <c r="F5" s="17" t="inlineStr">
        <is>
          <t>default: iba/app/config/views</t>
        </is>
      </c>
    </row>
    <row r="6" ht="18.75" customFormat="1" customHeight="1" s="18">
      <c r="A6" s="18" t="inlineStr">
        <is>
          <t>iba\app\ps\create-passages-by-book-view-and-export.ps1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export-iba-config-tables.ps1</t>
        </is>
      </c>
    </row>
    <row r="2" ht="18.75" customFormat="1" customHeight="1" s="18">
      <c r="A2" s="17" t="inlineStr">
        <is>
          <t>Export all cfg_* tables to CSV + an index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-ReportFileName</t>
        </is>
      </c>
      <c r="F4" s="4" t="inlineStr">
        <is>
          <t>-TableLike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iba/app/config</t>
        </is>
      </c>
      <c r="E5" s="17" t="inlineStr">
        <is>
          <t>default: cfg-table-csv-index.md</t>
        </is>
      </c>
      <c r="F5" s="17" t="inlineStr">
        <is>
          <t>default: cfg_%</t>
        </is>
      </c>
    </row>
    <row r="6" ht="18.75" customFormat="1" customHeight="1" s="18">
      <c r="A6" s="18" t="inlineStr">
        <is>
          <t>iba\app\ps\export-iba-config-tables.ps1</t>
        </is>
      </c>
      <c r="B6" s="5">
        <f>A6&amp;" "&amp;IF(C6="","",$C$4&amp;" '"&amp;C6&amp;"' ")&amp;IF(D6="","",$D$4&amp;" '"&amp;D6&amp;"' ")&amp;IF(E6="","",$E$4&amp;" '"&amp;E6&amp;"' ")&amp;IF(F6="","",$F$4&amp;" '"&amp;F6&amp;"' ")</f>
        <v/>
      </c>
    </row>
  </sheetData>
  <mergeCells count="1">
    <mergeCell ref="A2:F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generate-iba-db-schema-report.ps1</t>
        </is>
      </c>
    </row>
    <row r="2" ht="18.75" customFormat="1" customHeight="1" s="18">
      <c r="A2" s="17" t="inlineStr">
        <is>
          <t>Generate the full iba.db schema overview doc.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-BaseName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docs</t>
        </is>
      </c>
      <c r="E5" s="17" t="inlineStr">
        <is>
          <t>default: iba-db-schema-overview</t>
        </is>
      </c>
    </row>
    <row r="6" ht="18.75" customFormat="1" customHeight="1" s="18">
      <c r="A6" s="18" t="inlineStr">
        <is>
          <t>iba\app\ps\generate-iba-db-schema-report.ps1</t>
        </is>
      </c>
      <c r="B6" s="5">
        <f>A6&amp;" "&amp;IF(C6="","",$C$4&amp;" '"&amp;C6&amp;"' ")&amp;IF(D6="","",$D$4&amp;" '"&amp;D6&amp;"' ")&amp;IF(E6="","",$E$4&amp;" '"&amp;E6&amp;"' ")</f>
        <v/>
      </c>
    </row>
  </sheetData>
  <mergeCells count="1">
    <mergeCell ref="A2:E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PassageDebate-Report.ps1</t>
        </is>
      </c>
    </row>
    <row r="2" ht="18.75" customFormat="1" customHeight="1" s="18">
      <c r="A2" s="17" t="inlineStr">
        <is>
          <t>Report on passage/debate state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PassageDebate-Sync.ps1</t>
        </is>
      </c>
    </row>
    <row r="2" ht="18.75" customFormat="1" customHeight="1" s="18">
      <c r="A2" s="17" t="inlineStr">
        <is>
          <t>Sync file-based debate output back into passage/phenomenon.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iba\app\ps\PassageDebate-Sync.ps1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0"/>
    <pageSetUpPr/>
  </sheetPr>
  <dimension ref="A1:W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-Out</t>
        </is>
      </c>
      <c r="W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SeedCandidate-Report.ps1</t>
        </is>
      </c>
    </row>
    <row r="2" ht="18.75" customFormat="1" customHeight="1" s="18">
      <c r="A2" s="17" t="inlineStr">
        <is>
          <t>candidate_seed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iba\app\ps\SeedCandidate-Report.ps1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Set-Candidates.ps1</t>
        </is>
      </c>
    </row>
    <row r="2" ht="18.75" customFormat="1" customHeight="1" s="18">
      <c r="A2" s="17" t="inlineStr">
        <is>
          <t>Seed candidate_seed rows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iba\app\ps\Set-Candidates.ps1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-Reload</t>
        </is>
      </c>
      <c r="D4" s="4" t="inlineStr">
        <is>
          <t>-Reset</t>
        </is>
      </c>
    </row>
    <row r="5" ht="18.75" customFormat="1" customHeight="1" s="18">
      <c r="C5" s="17" t="inlineStr">
        <is>
          <t>reseed config from source</t>
        </is>
      </c>
      <c r="D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0"/>
    <pageSetUpPr/>
  </sheetPr>
  <dimension ref="A1:Q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  <col width="22" customWidth="1" min="10" max="10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  <c r="J4" s="23" t="inlineStr">
        <is>
          <t>-PayloadPath</t>
        </is>
      </c>
      <c r="K4" t="inlineStr">
        <is>
          <t>-SkipBuild</t>
        </is>
      </c>
      <c r="L4" t="inlineStr">
        <is>
          <t>-ForceRebuild</t>
        </is>
      </c>
      <c r="M4" t="inlineStr">
        <is>
          <t>-PassageFilter</t>
        </is>
      </c>
      <c r="N4" t="inlineStr">
        <is>
          <t>-VerseFilter</t>
        </is>
      </c>
      <c r="O4" t="inlineStr">
        <is>
          <t>-SurfaceFilter</t>
        </is>
      </c>
      <c r="P4" t="inlineStr">
        <is>
          <t>-StrongFilter</t>
        </is>
      </c>
      <c r="Q4" t="inlineStr">
        <is>
          <t>what this row demonstrates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lexical.build|lexical.enrich|report.verse_lexical|report.lexical_exceptions|report.lexical_extract -- omit to run the full chained sequence (now also runs lexical.enrich + report.lexical_exceptions); report.verse_lexical alone VIEWS already-built results with no re-build</t>
        </is>
      </c>
      <c r="J5" s="20" t="inlineStr">
        <is>
          <t>path to the lexical.enrich payload JSON (notes/remove/genre) -- REQUIRED when -Step lexical.enrich is used, or when running the full sequence (which now includes lexical.enrich)</t>
        </is>
      </c>
      <c r="K5" t="inlineStr">
        <is>
          <t>switch -- skip the lexical.build precheck/auto-build entirely, go straight to lexical.enrich (fails fast if Layer 1 is missing for the range). Mutually exclusive with -ForceRebuild.</t>
        </is>
      </c>
      <c r="L5" t="inlineStr">
        <is>
          <t>switch -- force lexical.build to rebuild even though Layer 1 is already present for the range; WARNS if Layer 2 notes already exist for it (rebuild orphans them -- see BUILD.md #234). Mutually exclusive with -SkipBuild.</t>
        </is>
      </c>
      <c r="M5" t="inlineStr">
        <is>
          <t>(report.lexical_extract only) comma-list of passage ids.</t>
        </is>
      </c>
      <c r="N5" t="inlineStr">
        <is>
          <t>(report.lexical_extract only) comma-list of OSIS verses, or a same-book range, e.g. 'Rom.9.14' or 'Gen.1.1-Gen.1.10'. Different syntax from -Range (chapter:verse against -Book) -- this filter ignores -Book/-Chapters/-Range entirely.</t>
        </is>
      </c>
      <c r="O5" t="inlineStr">
        <is>
          <t>(report.lexical_extract only) comma-list of exact surface-text values.</t>
        </is>
      </c>
      <c r="P5" t="inlineStr">
        <is>
          <t>(report.lexical_extract only) comma-list of Strong's codes.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")&amp;IF(J6="","",$J$4&amp;" '"&amp;J6&amp;"' ")&amp;IF(K6&lt;&gt;"",$K$4&amp;" ","")&amp;IF(L6&lt;&gt;"",$L$4&amp;" ","")&amp;IF(M6="","",$M$4&amp;" '"&amp;M6&amp;"' ")&amp;IF(N6="","",$N$4&amp;" '"&amp;N6&amp;"' ")&amp;IF(O6="","",$O$4&amp;" '"&amp;O6&amp;"' ")&amp;IF(P6="","",$P$4&amp;" '"&amp;P6&amp;"' ")</f>
        <v/>
      </c>
      <c r="C6" s="18" t="inlineStr">
        <is>
          <t>Rom</t>
        </is>
      </c>
      <c r="D6" s="6" t="n"/>
      <c r="E6" s="18" t="inlineStr">
        <is>
          <t>8:2</t>
        </is>
      </c>
      <c r="I6" t="inlineStr">
        <is>
          <t>lexical.build</t>
        </is>
      </c>
      <c r="Q6" t="inlineStr">
        <is>
          <t>Layer 1 only (mechanical build) -- no payload needed. Fixed 2026-09-05: this row used to omit -Step, which now runs the FULL default sequence (incl. lexical.enrich) and fails without a payload -- exactly the error found live.</t>
        </is>
      </c>
    </row>
    <row r="7">
      <c r="A7" t="inlineStr">
        <is>
          <t>iba\app\ps\VerseLexical.ps1</t>
        </is>
      </c>
      <c r="B7">
        <f>A7&amp;" "&amp;IF(C7="","",$C$4&amp;" '"&amp;C7&amp;"' ")&amp;IF(D7="","",$D$4&amp;" '"&amp;D7&amp;"' ")&amp;IF(E7="","",$E$4&amp;" '"&amp;E7&amp;"' ")&amp;IF(F7="","",$F$4&amp;" '"&amp;F7&amp;"' ")&amp;IF(G7="","",$G$4&amp;" '"&amp;G7&amp;"' ")&amp;IF(H7&lt;&gt;"",$H$4&amp;" ","")&amp;IF(I7="","",$I$4&amp;" '"&amp;I7&amp;"' ")&amp;IF(J7="","",$J$4&amp;" '"&amp;J7&amp;"' ")&amp;IF(K7&lt;&gt;"",$K$4&amp;" ","")&amp;IF(L7&lt;&gt;"",$L$4&amp;" ","")&amp;IF(M7="","",$M$4&amp;" '"&amp;M7&amp;"' ")&amp;IF(N7="","",$N$4&amp;" '"&amp;N7&amp;"' ")&amp;IF(O7="","",$O$4&amp;" '"&amp;O7&amp;"' ")&amp;IF(P7="","",$P$4&amp;" '"&amp;P7&amp;"' ")</f>
        <v/>
      </c>
      <c r="C7" t="inlineStr">
        <is>
          <t>Rom</t>
        </is>
      </c>
      <c r="E7" t="inlineStr">
        <is>
          <t>8:2</t>
        </is>
      </c>
      <c r="I7" t="inlineStr">
        <is>
          <t>report.verse_lexical</t>
        </is>
      </c>
      <c r="Q7" t="inlineStr">
        <is>
          <t>View already-built Layer 1 results -- no rebuild, no STEP calls, no payload.</t>
        </is>
      </c>
    </row>
    <row r="8">
      <c r="A8" t="inlineStr">
        <is>
          <t>iba\app\ps\VerseLexical.ps1</t>
        </is>
      </c>
      <c r="B8">
        <f>A8&amp;" "&amp;IF(C8="","",$C$4&amp;" '"&amp;C8&amp;"' ")&amp;IF(D8="","",$D$4&amp;" '"&amp;D8&amp;"' ")&amp;IF(E8="","",$E$4&amp;" '"&amp;E8&amp;"' ")&amp;IF(F8="","",$F$4&amp;" '"&amp;F8&amp;"' ")&amp;IF(G8="","",$G$4&amp;" '"&amp;G8&amp;"' ")&amp;IF(H8&lt;&gt;"",$H$4&amp;" ","")&amp;IF(I8="","",$I$4&amp;" '"&amp;I8&amp;"' ")&amp;IF(J8="","",$J$4&amp;" '"&amp;J8&amp;"' ")&amp;IF(K8&lt;&gt;"",$K$4&amp;" ","")&amp;IF(L8&lt;&gt;"",$L$4&amp;" ","")&amp;IF(M8="","",$M$4&amp;" '"&amp;M8&amp;"' ")&amp;IF(N8="","",$N$4&amp;" '"&amp;N8&amp;"' ")&amp;IF(O8="","",$O$4&amp;" '"&amp;O8&amp;"' ")&amp;IF(P8="","",$P$4&amp;" '"&amp;P8&amp;"' ")</f>
        <v/>
      </c>
      <c r="C8" t="inlineStr">
        <is>
          <t>Rom</t>
        </is>
      </c>
      <c r="E8" t="inlineStr">
        <is>
          <t>9:14</t>
        </is>
      </c>
      <c r="I8" t="inlineStr">
        <is>
          <t>lexical.enrich</t>
        </is>
      </c>
      <c r="J8" t="inlineStr">
        <is>
          <t>iba\docs\lexical-enrich-payload-example-rom-9-14-v1-20260905.json</t>
        </is>
      </c>
      <c r="Q8" t="inlineStr">
        <is>
          <t>Layer 2 enrich using the real worked-example payload -- see lexical-enrich-payload-guide-v1-20260905.md for what's in it. Auto-builds Layer 1 first only if it isn't already there.</t>
        </is>
      </c>
    </row>
    <row r="9">
      <c r="A9" t="inlineStr">
        <is>
          <t>iba\app\ps\VerseLexical.ps1</t>
        </is>
      </c>
      <c r="B9">
        <f>A9&amp;" "&amp;IF(C9="","",$C$4&amp;" '"&amp;C9&amp;"' ")&amp;IF(D9="","",$D$4&amp;" '"&amp;D9&amp;"' ")&amp;IF(E9="","",$E$4&amp;" '"&amp;E9&amp;"' ")&amp;IF(F9="","",$F$4&amp;" '"&amp;F9&amp;"' ")&amp;IF(G9="","",$G$4&amp;" '"&amp;G9&amp;"' ")&amp;IF(H9&lt;&gt;"",$H$4&amp;" ","")&amp;IF(I9="","",$I$4&amp;" '"&amp;I9&amp;"' ")&amp;IF(J9="","",$J$4&amp;" '"&amp;J9&amp;"' ")&amp;IF(K9&lt;&gt;"",$K$4&amp;" ","")&amp;IF(L9&lt;&gt;"",$L$4&amp;" ","")&amp;IF(M9="","",$M$4&amp;" '"&amp;M9&amp;"' ")&amp;IF(N9="","",$N$4&amp;" '"&amp;N9&amp;"' ")&amp;IF(O9="","",$O$4&amp;" '"&amp;O9&amp;"' ")&amp;IF(P9="","",$P$4&amp;" '"&amp;P9&amp;"' ")</f>
        <v/>
      </c>
      <c r="C9" t="inlineStr">
        <is>
          <t>Rom</t>
        </is>
      </c>
      <c r="E9" t="inlineStr">
        <is>
          <t>9:14</t>
        </is>
      </c>
      <c r="I9" t="inlineStr">
        <is>
          <t>lexical.enrich</t>
        </is>
      </c>
      <c r="J9" t="inlineStr">
        <is>
          <t>iba\docs\lexical-enrich-payload-example-rom-9-14-v1-20260905.json</t>
        </is>
      </c>
      <c r="K9" t="inlineStr">
        <is>
          <t>x</t>
        </is>
      </c>
      <c r="Q9" t="inlineStr">
        <is>
          <t>-SkipBuild: same enrich, but skip the Layer-1 precheck entirely (use when you already know Layer 1 is current).</t>
        </is>
      </c>
    </row>
    <row r="10">
      <c r="A10" t="inlineStr">
        <is>
          <t>iba\app\ps\VerseLexical.ps1</t>
        </is>
      </c>
      <c r="B10">
        <f>A10&amp;" "&amp;IF(C10="","",$C$4&amp;" '"&amp;C10&amp;"' ")&amp;IF(D10="","",$D$4&amp;" '"&amp;D10&amp;"' ")&amp;IF(E10="","",$E$4&amp;" '"&amp;E10&amp;"' ")&amp;IF(F10="","",$F$4&amp;" '"&amp;F10&amp;"' ")&amp;IF(G10="","",$G$4&amp;" '"&amp;G10&amp;"' ")&amp;IF(H10&lt;&gt;"",$H$4&amp;" ","")&amp;IF(I10="","",$I$4&amp;" '"&amp;I10&amp;"' ")&amp;IF(J10="","",$J$4&amp;" '"&amp;J10&amp;"' ")&amp;IF(K10&lt;&gt;"",$K$4&amp;" ","")&amp;IF(L10&lt;&gt;"",$L$4&amp;" ","")&amp;IF(M10="","",$M$4&amp;" '"&amp;M10&amp;"' ")&amp;IF(N10="","",$N$4&amp;" '"&amp;N10&amp;"' ")&amp;IF(O10="","",$O$4&amp;" '"&amp;O10&amp;"' ")&amp;IF(P10="","",$P$4&amp;" '"&amp;P10&amp;"' ")</f>
        <v/>
      </c>
      <c r="C10" t="inlineStr">
        <is>
          <t>Rom</t>
        </is>
      </c>
      <c r="E10" t="inlineStr">
        <is>
          <t>9:14</t>
        </is>
      </c>
      <c r="I10" t="inlineStr">
        <is>
          <t>lexical.enrich</t>
        </is>
      </c>
      <c r="J10" t="inlineStr">
        <is>
          <t>iba\docs\lexical-enrich-payload-example-rom-9-14-v1-20260905.json</t>
        </is>
      </c>
      <c r="L10" t="inlineStr">
        <is>
          <t>x</t>
        </is>
      </c>
      <c r="Q10" t="inlineStr">
        <is>
          <t>-ForceRebuild: force Layer 1 to rebuild even though already present (rare -- prints a warning if Layer 2 notes already exist, since rebuilding could touch them).</t>
        </is>
      </c>
    </row>
    <row r="11">
      <c r="A11" t="inlineStr">
        <is>
          <t>iba\app\ps\VerseLexical.ps1</t>
        </is>
      </c>
      <c r="B11">
        <f>A11&amp;" "&amp;IF(C11="","",$C$4&amp;" '"&amp;C11&amp;"' ")&amp;IF(D11="","",$D$4&amp;" '"&amp;D11&amp;"' ")&amp;IF(E11="","",$E$4&amp;" '"&amp;E11&amp;"' ")&amp;IF(F11="","",$F$4&amp;" '"&amp;F11&amp;"' ")&amp;IF(G11="","",$G$4&amp;" '"&amp;G11&amp;"' ")&amp;IF(H11&lt;&gt;"",$H$4&amp;" ","")&amp;IF(I11="","",$I$4&amp;" '"&amp;I11&amp;"' ")&amp;IF(J11="","",$J$4&amp;" '"&amp;J11&amp;"' ")&amp;IF(K11&lt;&gt;"",$K$4&amp;" ","")&amp;IF(L11&lt;&gt;"",$L$4&amp;" ","")&amp;IF(M11="","",$M$4&amp;" '"&amp;M11&amp;"' ")&amp;IF(N11="","",$N$4&amp;" '"&amp;N11&amp;"' ")&amp;IF(O11="","",$O$4&amp;" '"&amp;O11&amp;"' ")&amp;IF(P11="","",$P$4&amp;" '"&amp;P11&amp;"' ")</f>
        <v/>
      </c>
      <c r="C11" t="inlineStr">
        <is>
          <t>Rom</t>
        </is>
      </c>
      <c r="E11" t="inlineStr">
        <is>
          <t>9:14</t>
        </is>
      </c>
      <c r="I11" t="inlineStr">
        <is>
          <t>report.lexical_exceptions</t>
        </is>
      </c>
      <c r="Q11" t="inlineStr">
        <is>
          <t>Per-run self-audit for an already-enriched range: Layer 1 tally, Layer 2 dispositions, judgement calls, and the dangling-reference integrity check.</t>
        </is>
      </c>
    </row>
    <row r="12">
      <c r="A12" t="inlineStr">
        <is>
          <t>iba\app\ps\VerseLexical.ps1</t>
        </is>
      </c>
      <c r="B12">
        <f>A12&amp;" "&amp;IF(C12="","",$C$4&amp;" '"&amp;C12&amp;"' ")&amp;IF(D12="","",$D$4&amp;" '"&amp;D12&amp;"' ")&amp;IF(E12="","",$E$4&amp;" '"&amp;E12&amp;"' ")&amp;IF(F12="","",$F$4&amp;" '"&amp;F12&amp;"' ")&amp;IF(G12="","",$G$4&amp;" '"&amp;G12&amp;"' ")&amp;IF(H12&lt;&gt;"",$H$4&amp;" ","")&amp;IF(I12="","",$I$4&amp;" '"&amp;I12&amp;"' ")&amp;IF(J12="","",$J$4&amp;" '"&amp;J12&amp;"' ")&amp;IF(K12&lt;&gt;"",$K$4&amp;" ","")&amp;IF(L12&lt;&gt;"",$L$4&amp;" ","")&amp;IF(M12="","",$M$4&amp;" '"&amp;M12&amp;"' ")&amp;IF(N12="","",$N$4&amp;" '"&amp;N12&amp;"' ")&amp;IF(O12="","",$O$4&amp;" '"&amp;O12&amp;"' ")&amp;IF(P12="","",$P$4&amp;" '"&amp;P12&amp;"' ")</f>
        <v/>
      </c>
      <c r="C12" t="inlineStr">
        <is>
          <t>Rom</t>
        </is>
      </c>
      <c r="E12" t="inlineStr">
        <is>
          <t>1:1</t>
        </is>
      </c>
      <c r="I12" t="inlineStr">
        <is>
          <t>report.lexical_extract</t>
        </is>
      </c>
      <c r="N12" t="inlineStr">
        <is>
          <t>Rom.9.14</t>
        </is>
      </c>
      <c r="Q12" t="inlineStr">
        <is>
          <t>report.lexical_extract: filter-driven, ignores -Book/-Chapters/-Range (still required by this script -- any value works, e.g. Rom/1:1 here). Needs at least one of -PassageFilter/-VerseFilter/-SurfaceFilter/-StrongFilter.</t>
        </is>
      </c>
    </row>
    <row r="13">
      <c r="A13" t="inlineStr">
        <is>
          <t>iba\app\ps\VerseLexical.ps1</t>
        </is>
      </c>
      <c r="B13">
        <f>A13&amp;" "&amp;IF(C13="","",$C$4&amp;" '"&amp;C13&amp;"' ")&amp;IF(D13="","",$D$4&amp;" '"&amp;D13&amp;"' ")&amp;IF(E13="","",$E$4&amp;" '"&amp;E13&amp;"' ")&amp;IF(F13="","",$F$4&amp;" '"&amp;F13&amp;"' ")&amp;IF(G13="","",$G$4&amp;" '"&amp;G13&amp;"' ")&amp;IF(H13&lt;&gt;"",$H$4&amp;" ","")&amp;IF(I13="","",$I$4&amp;" '"&amp;I13&amp;"' ")&amp;IF(J13="","",$J$4&amp;" '"&amp;J13&amp;"' ")&amp;IF(K13&lt;&gt;"",$K$4&amp;" ","")&amp;IF(L13&lt;&gt;"",$L$4&amp;" ","")&amp;IF(M13="","",$M$4&amp;" '"&amp;M13&amp;"' ")&amp;IF(N13="","",$N$4&amp;" '"&amp;N13&amp;"' ")&amp;IF(O13="","",$O$4&amp;" '"&amp;O13&amp;"' ")&amp;IF(P13="","",$P$4&amp;" '"&amp;P13&amp;"' ")</f>
        <v/>
      </c>
      <c r="C13" t="inlineStr">
        <is>
          <t>Rom</t>
        </is>
      </c>
      <c r="E13" t="inlineStr">
        <is>
          <t>9:14</t>
        </is>
      </c>
      <c r="J13" t="inlineStr">
        <is>
          <t>iba\docs\lexical-enrich-payload-example-rom-9-14-v1-20260905.json</t>
        </is>
      </c>
      <c r="N13" t="inlineStr">
        <is>
          <t>Rom.9.14</t>
        </is>
      </c>
      <c r="Q13" t="inlineStr">
        <is>
          <t>Full default sequence (no -Step): build + view + enrich + exceptions + extract, all 5 steps in one run. Needs BOTH -PayloadPath (for lexical.enrich) AND a filter (for report.lexical_extract, now both in the default sequence) -- omitting either fails fast.</t>
        </is>
      </c>
    </row>
  </sheetData>
  <mergeCells count="1">
    <mergeCell ref="A2:H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VerseSpanMeaning-Report.ps1</t>
        </is>
      </c>
    </row>
    <row r="2" ht="18.75" customFormat="1" customHeight="1" s="18">
      <c r="A2" s="17" t="inlineStr">
        <is>
          <t>Report verse-span-meaning coverage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iba\app\ps\VerseSpanMeaning-Report.ps1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WordRegistrySpan-Report.ps1</t>
        </is>
      </c>
    </row>
    <row r="2" ht="18.75" customFormat="1" customHeight="1" s="18">
      <c r="A2" s="17" t="inlineStr">
        <is>
          <t>Report a word's span coverage against its registry entry.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-RunId</t>
        </is>
      </c>
      <c r="E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iba\app\ps\WordRegistrySpan-Report.ps1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2026-09-05T13:14:49Z</dcterms:modified>
  <cp:lastModifiedBy>LeRoux Cilliers</cp:lastModifiedBy>
</cp:coreProperties>
</file>